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SETUP" sheetId="2" state="visible" r:id="rId2"/>
    <sheet xmlns:r="http://schemas.openxmlformats.org/officeDocument/2006/relationships" name="CHART OF ACCOUNTS" sheetId="3" state="visible" r:id="rId3"/>
    <sheet xmlns:r="http://schemas.openxmlformats.org/officeDocument/2006/relationships" name="COST BOOK" sheetId="4" state="visible" r:id="rId4"/>
    <sheet xmlns:r="http://schemas.openxmlformats.org/officeDocument/2006/relationships" name="PRICE BOOK" sheetId="5" state="visible" r:id="rId5"/>
    <sheet xmlns:r="http://schemas.openxmlformats.org/officeDocument/2006/relationships" name="JOURNAL" sheetId="6" state="visible" r:id="rId6"/>
    <sheet xmlns:r="http://schemas.openxmlformats.org/officeDocument/2006/relationships" name="MONTHLY" sheetId="7" state="visible" r:id="rId7"/>
    <sheet xmlns:r="http://schemas.openxmlformats.org/officeDocument/2006/relationships" name="BUDGET" sheetId="8" state="visible" r:id="rId8"/>
    <sheet xmlns:r="http://schemas.openxmlformats.org/officeDocument/2006/relationships" name="P&amp;L" sheetId="9" state="visible" r:id="rId9"/>
    <sheet xmlns:r="http://schemas.openxmlformats.org/officeDocument/2006/relationships" name="TvA" sheetId="10" state="visible" r:id="rId10"/>
    <sheet xmlns:r="http://schemas.openxmlformats.org/officeDocument/2006/relationships" name="BALANCE SHEET" sheetId="11" state="visible" r:id="rId11"/>
    <sheet xmlns:r="http://schemas.openxmlformats.org/officeDocument/2006/relationships" name="VIEW · CO-FOUNDERS" sheetId="12" state="visible" r:id="rId12"/>
    <sheet xmlns:r="http://schemas.openxmlformats.org/officeDocument/2006/relationships" name="VIEW · INVESTORS" sheetId="13" state="visible" r:id="rId13"/>
    <sheet xmlns:r="http://schemas.openxmlformats.org/officeDocument/2006/relationships" name="VIEW · INTERNAL" sheetId="14" state="visible" r:id="rId14"/>
    <sheet xmlns:r="http://schemas.openxmlformats.org/officeDocument/2006/relationships" name="VIEW · TAX (URA)" sheetId="15" state="visible" r:id="rId15"/>
    <sheet xmlns:r="http://schemas.openxmlformats.org/officeDocument/2006/relationships" name="VIEW · LENDERS" sheetId="16" state="visible" r:id="rId16"/>
    <sheet xmlns:r="http://schemas.openxmlformats.org/officeDocument/2006/relationships" name="VIEW · GROWTH" sheetId="17" state="visible" r:id="rId17"/>
    <sheet xmlns:r="http://schemas.openxmlformats.org/officeDocument/2006/relationships" name="ACCESS" sheetId="18" state="visible" r:id="rId18"/>
    <sheet xmlns:r="http://schemas.openxmlformats.org/officeDocument/2006/relationships" name="CASH 13-WEEK" sheetId="19" state="visible" r:id="rId19"/>
    <sheet xmlns:r="http://schemas.openxmlformats.org/officeDocument/2006/relationships" name="GAPS" sheetId="20" state="visible" r:id="rId20"/>
    <sheet xmlns:r="http://schemas.openxmlformats.org/officeDocument/2006/relationships" name="CHECKS" sheetId="21" state="visible" r:id="rId21"/>
    <sheet xmlns:r="http://schemas.openxmlformats.org/officeDocument/2006/relationships" name="REQUEST REGISTER" sheetId="22" state="visible" r:id="rId22"/>
    <sheet xmlns:r="http://schemas.openxmlformats.org/officeDocument/2006/relationships" name="CANONICAL FIGURES" sheetId="23" state="visible" r:id="rId23"/>
  </sheets>
  <definedNames/>
  <calcPr calcId="124519" fullCalcOnLoad="1"/>
</workbook>
</file>

<file path=xl/styles.xml><?xml version="1.0" encoding="utf-8"?>
<styleSheet xmlns="http://schemas.openxmlformats.org/spreadsheetml/2006/main">
  <numFmts count="7">
    <numFmt numFmtId="164" formatCode="yyyy-mm-dd"/>
    <numFmt numFmtId="165" formatCode="0.0%"/>
    <numFmt numFmtId="166" formatCode="#,##0;[Red]-#,##0"/>
    <numFmt numFmtId="167" formatCode="0.0"/>
    <numFmt numFmtId="168" formatCode="0.00&quot;x&quot;"/>
    <numFmt numFmtId="169" formatCode="0.0&quot;d&quot;"/>
    <numFmt numFmtId="170" formatCode="dd-mmm"/>
  </numFmts>
  <fonts count="7">
    <font>
      <name val="Calibri"/>
      <family val="2"/>
      <color theme="1"/>
      <sz val="11"/>
      <scheme val="minor"/>
    </font>
    <font>
      <b val="1"/>
      <color rgb="FF1F3864"/>
      <sz val="15"/>
    </font>
    <font>
      <b val="1"/>
    </font>
    <font>
      <i val="1"/>
      <color rgb="FF808080"/>
      <sz val="9"/>
    </font>
    <font>
      <b val="1"/>
      <color rgb="FFFFFFFF"/>
      <sz val="11"/>
    </font>
    <font>
      <b val="1"/>
      <color rgb="FFFFFFFF"/>
    </font>
    <font>
      <b val="1"/>
      <color rgb="FFC00000"/>
      <sz val="11"/>
    </font>
  </fonts>
  <fills count="8">
    <fill>
      <patternFill/>
    </fill>
    <fill>
      <patternFill patternType="gray125"/>
    </fill>
    <fill>
      <patternFill patternType="solid">
        <fgColor rgb="FF1F3864"/>
      </patternFill>
    </fill>
    <fill>
      <patternFill patternType="solid">
        <fgColor rgb="FFDDEBF7"/>
      </patternFill>
    </fill>
    <fill>
      <patternFill patternType="solid">
        <fgColor rgb="FFFDE9D9"/>
      </patternFill>
    </fill>
    <fill>
      <patternFill patternType="solid">
        <fgColor rgb="FFE2EFDA"/>
      </patternFill>
    </fill>
    <fill>
      <patternFill patternType="solid">
        <fgColor rgb="FFF2F2F2"/>
      </patternFill>
    </fill>
    <fill>
      <patternFill patternType="solid">
        <fgColor rgb="FFFFF2CC"/>
      </patternFill>
    </fill>
  </fills>
  <borders count="2">
    <border>
      <left/>
      <right/>
      <top/>
      <bottom/>
      <diagonal/>
    </border>
    <border>
      <bottom style="thin">
        <color rgb="FFD0D0D0"/>
      </bottom>
    </border>
  </borders>
  <cellStyleXfs count="1">
    <xf numFmtId="0" fontId="0" fillId="0" borderId="0"/>
  </cellStyleXfs>
  <cellXfs count="3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0" fillId="2" borderId="0" pivotButton="0" quotePrefix="0" xfId="0"/>
    <xf numFmtId="0" fontId="0" fillId="3" borderId="0" pivotButton="0" quotePrefix="0" xfId="0"/>
    <xf numFmtId="164" fontId="0" fillId="3" borderId="0" pivotButton="0" quotePrefix="0" xfId="0"/>
    <xf numFmtId="165" fontId="0" fillId="3" borderId="0" pivotButton="0" quotePrefix="0" xfId="0"/>
    <xf numFmtId="3" fontId="0" fillId="3" borderId="0" pivotButton="0" quotePrefix="0" xfId="0"/>
    <xf numFmtId="166" fontId="0" fillId="3" borderId="0" pivotButton="0" quotePrefix="0" xfId="0"/>
    <xf numFmtId="0" fontId="5" fillId="2" borderId="0" pivotButton="0" quotePrefix="0" xfId="0"/>
    <xf numFmtId="0" fontId="0" fillId="4" borderId="0" pivotButton="0" quotePrefix="0" xfId="0"/>
    <xf numFmtId="0" fontId="0" fillId="5" borderId="0" pivotButton="0" quotePrefix="0" xfId="0"/>
    <xf numFmtId="166" fontId="0" fillId="4" borderId="0" pivotButton="0" quotePrefix="0" xfId="0"/>
    <xf numFmtId="166" fontId="0" fillId="0" borderId="0" pivotButton="0" quotePrefix="0" xfId="0"/>
    <xf numFmtId="166" fontId="2" fillId="0" borderId="0" pivotButton="0" quotePrefix="0" xfId="0"/>
    <xf numFmtId="0" fontId="2" fillId="4" borderId="0" pivotButton="0" quotePrefix="0" xfId="0"/>
    <xf numFmtId="0" fontId="2" fillId="0" borderId="1" applyAlignment="1" pivotButton="0" quotePrefix="0" xfId="0">
      <alignment horizontal="center"/>
    </xf>
    <xf numFmtId="166" fontId="2" fillId="4" borderId="0" pivotButton="0" quotePrefix="0" xfId="0"/>
    <xf numFmtId="166" fontId="2" fillId="6" borderId="0" pivotButton="0" quotePrefix="0" xfId="0"/>
    <xf numFmtId="165" fontId="0" fillId="0" borderId="0" pivotButton="0" quotePrefix="0" xfId="0"/>
    <xf numFmtId="165" fontId="2" fillId="0" borderId="0" pivotButton="0" quotePrefix="0" xfId="0"/>
    <xf numFmtId="3" fontId="2" fillId="7" borderId="0" pivotButton="0" quotePrefix="0" xfId="0"/>
    <xf numFmtId="166" fontId="2" fillId="5" borderId="0" pivotButton="0" quotePrefix="0" xfId="0"/>
    <xf numFmtId="167" fontId="2" fillId="0" borderId="0" pivotButton="0" quotePrefix="0" xfId="0"/>
    <xf numFmtId="3" fontId="2" fillId="0" borderId="0" pivotButton="0" quotePrefix="0" xfId="0"/>
    <xf numFmtId="4" fontId="2" fillId="0" borderId="0" pivotButton="0" quotePrefix="0" xfId="0"/>
    <xf numFmtId="168" fontId="2" fillId="0" borderId="0" pivotButton="0" quotePrefix="0" xfId="0"/>
    <xf numFmtId="169" fontId="2" fillId="0" borderId="0" pivotButton="0" quotePrefix="0" xfId="0"/>
    <xf numFmtId="170" fontId="2" fillId="0" borderId="1" applyAlignment="1" pivotButton="0" quotePrefix="0" xfId="0">
      <alignment horizontal="center"/>
    </xf>
    <xf numFmtId="0" fontId="6" fillId="0" borderId="0" pivotButton="0" quotePrefix="0" xfId="0"/>
    <xf numFmtId="0" fontId="2" fillId="5" borderId="0" pivotButton="0" quotePrefix="0" xfId="0"/>
    <xf numFmtId="0" fontId="2" fillId="7"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112" customWidth="1" min="1" max="1"/>
  </cols>
  <sheetData>
    <row r="1">
      <c r="A1" s="1" t="inlineStr">
        <is>
          <t>MAJI SAFI — FINANCIAL SOURCE OF TRUTH</t>
        </is>
      </c>
    </row>
    <row r="2">
      <c r="A2" t="inlineStr">
        <is>
          <t>Safiflow Ventures Group Limited, t/a Maji Safi · Lukuli Road, Buziga, Kampala</t>
        </is>
      </c>
    </row>
    <row r="3">
      <c r="A3" s="2" t="inlineStr">
        <is>
          <t>Financial year 1: 1 October 2026 – 30 September 2027</t>
        </is>
      </c>
    </row>
    <row r="4">
      <c r="A4" t="inlineStr"/>
    </row>
    <row r="5">
      <c r="A5" s="2" t="inlineStr">
        <is>
          <t>THIS IS THE ONLY FINANCIAL FILE.</t>
        </is>
      </c>
    </row>
    <row r="6">
      <c r="A6" t="inlineStr">
        <is>
          <t>If a number is not in here, it is not a number. No side spreadsheets, no second version,</t>
        </is>
      </c>
    </row>
    <row r="7">
      <c r="A7" t="inlineStr">
        <is>
          <t>no 'the one on my laptop'. One file, one truth. Everything else is a view OF this file.</t>
        </is>
      </c>
    </row>
    <row r="8">
      <c r="A8" t="inlineStr"/>
    </row>
    <row r="9">
      <c r="A9" s="2" t="inlineStr">
        <is>
          <t>HOW IT IS BUILT — four layers</t>
        </is>
      </c>
    </row>
    <row r="10">
      <c r="A10" t="inlineStr">
        <is>
          <t xml:space="preserve">  LAYER 1  INPUT     You type here and nowhere else:</t>
        </is>
      </c>
    </row>
    <row r="11">
      <c r="A11" t="inlineStr">
        <is>
          <t xml:space="preserve">                     SETUP · CHART OF ACCOUNTS · COST BOOK · PRICE BOOK · JOURNAL · PAYROLL</t>
        </is>
      </c>
    </row>
    <row r="12">
      <c r="A12" t="inlineStr">
        <is>
          <t xml:space="preserve">  LAYER 2  ENGINE    Never touched. Computes everything: MONTHLY · P&amp;L · BALANCE SHEET · TvA</t>
        </is>
      </c>
    </row>
    <row r="13">
      <c r="A13" t="inlineStr">
        <is>
          <t xml:space="preserve">  LAYER 3  VIEWS     One per audience. Read-only. Nobody edits a view:</t>
        </is>
      </c>
    </row>
    <row r="14">
      <c r="A14" t="inlineStr">
        <is>
          <t xml:space="preserve">                     CO-FOUNDERS · INVESTORS · INTERNAL · TAX (URA) · LENDERS · GROWTH</t>
        </is>
      </c>
    </row>
    <row r="15">
      <c r="A15" t="inlineStr">
        <is>
          <t xml:space="preserve">  LAYER 4  CONTROL   CASH 13-WEEK · ACCESS · GAPS · CHECKS</t>
        </is>
      </c>
    </row>
    <row r="16">
      <c r="A16" t="inlineStr"/>
    </row>
    <row r="17">
      <c r="A17" s="2" t="inlineStr">
        <is>
          <t>THE DAILY JOB</t>
        </is>
      </c>
    </row>
    <row r="18">
      <c r="A18" t="inlineStr">
        <is>
          <t>Every transaction goes in JOURNAL as a double entry. That is the whole data-entry job.</t>
        </is>
      </c>
    </row>
    <row r="19">
      <c r="A19" t="inlineStr">
        <is>
          <t>Everything above it computes. If JOURNAL is right, every view is right.</t>
        </is>
      </c>
    </row>
    <row r="20">
      <c r="A20" t="inlineStr"/>
    </row>
    <row r="21">
      <c r="A21" s="2" t="inlineStr">
        <is>
          <t>THE STANDING RULE</t>
        </is>
      </c>
    </row>
    <row r="22">
      <c r="A22" t="inlineStr">
        <is>
          <t>Every Monday morning once we are selling: roll CASH 13-WEEK forward and read the ALARM row.</t>
        </is>
      </c>
    </row>
    <row r="23">
      <c r="A23" t="inlineStr"/>
    </row>
    <row r="24">
      <c r="A24" s="2" t="inlineStr">
        <is>
          <t>WHY DOUBLE ENTRY AND ACCOUNT CODES — this is the migration path</t>
        </is>
      </c>
    </row>
    <row r="25">
      <c r="A25" t="inlineStr">
        <is>
          <t>JOURNAL is a flat table with account codes, dates, debits and credits. That is exactly what</t>
        </is>
      </c>
    </row>
    <row r="26">
      <c r="A26" t="inlineStr">
        <is>
          <t>Xero, QuickBooks, Zoho and Odoo import. When we outgrow Sheets we export JOURNAL and</t>
        </is>
      </c>
    </row>
    <row r="27">
      <c r="A27" t="inlineStr">
        <is>
          <t>CHART OF ACCOUNTS as CSV and import them. No re-keying, no lost history.</t>
        </is>
      </c>
    </row>
    <row r="28">
      <c r="A28" t="inlineStr">
        <is>
          <t>Do NOT invent account names in JOURNAL. Pick a code from CHART OF ACCOUNTS or add one there</t>
        </is>
      </c>
    </row>
    <row r="29">
      <c r="A29" t="inlineStr">
        <is>
          <t>first. The moment two people call the same thing different names, migration breaks.</t>
        </is>
      </c>
    </row>
    <row r="30">
      <c r="A30" t="inlineStr"/>
    </row>
    <row r="31">
      <c r="A31" s="2" t="inlineStr">
        <is>
          <t>THE RULES THAT GOVERN THE NUMBERS</t>
        </is>
      </c>
    </row>
    <row r="32">
      <c r="A32" t="inlineStr">
        <is>
          <t>1. Revenue is NET of VAT and excise. Those are collected for URA and are never our revenue.</t>
        </is>
      </c>
    </row>
    <row r="33">
      <c r="A33" t="inlineStr">
        <is>
          <t>2. The 20L jar is a DEPOSIT, never revenue. A liability, repayable when the jar comes back.</t>
        </is>
      </c>
    </row>
    <row r="34">
      <c r="A34" t="inlineStr">
        <is>
          <t>3. The jar cost is expensed in full on issue, not capitalised.</t>
        </is>
      </c>
    </row>
    <row r="35">
      <c r="A35" t="inlineStr">
        <is>
          <t>4. Water in a reusable jar is always a refill, including the first fill.</t>
        </is>
      </c>
    </row>
    <row r="36">
      <c r="A36" t="inlineStr">
        <is>
          <t>5. B2B list and floor. Floor is EARNED on last month's volume, never given for a promise.</t>
        </is>
      </c>
    </row>
    <row r="37">
      <c r="A37" t="inlineStr">
        <is>
          <t>6. B2C is one price, no discount. A deposit is never discounted.</t>
        </is>
      </c>
    </row>
    <row r="38">
      <c r="A38" t="inlineStr"/>
    </row>
    <row r="39">
      <c r="A39" s="2" t="inlineStr">
        <is>
          <t>WHO RUNS IT AND WHO SEES IT → see the ACCESS tab.</t>
        </is>
      </c>
    </row>
    <row r="40">
      <c r="A40" s="2" t="inlineStr">
        <is>
          <t>WHAT WE STILL DO NOT KNOW → see the GAPS tab. Nothing in here is guessed silently.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5"/>
  <sheetViews>
    <sheetView workbookViewId="0">
      <selection activeCell="A1" sqref="A1"/>
    </sheetView>
  </sheetViews>
  <sheetFormatPr baseColWidth="8" defaultRowHeight="15"/>
  <cols>
    <col width="48" customWidth="1" min="1" max="1"/>
    <col width="30" customWidth="1" min="2" max="2"/>
    <col width="52" customWidth="1" min="3" max="3"/>
  </cols>
  <sheetData>
    <row r="1">
      <c r="A1" s="1" t="inlineStr">
        <is>
          <t>SETUP</t>
        </is>
      </c>
    </row>
    <row r="2">
      <c r="A2" s="3" t="inlineStr">
        <is>
          <t>Blue = you fill it in. This drives dates, tax and opening balances everywhere else.</t>
        </is>
      </c>
    </row>
    <row r="4">
      <c r="A4" s="4" t="inlineStr">
        <is>
          <t>COMPANY</t>
        </is>
      </c>
      <c r="B4" s="5" t="n"/>
      <c r="C4" s="5" t="n"/>
    </row>
    <row r="5">
      <c r="A5" t="inlineStr">
        <is>
          <t>Registered name</t>
        </is>
      </c>
      <c r="B5" s="6" t="inlineStr">
        <is>
          <t>Safiflow Ventures Group Limited</t>
        </is>
      </c>
      <c r="C5" s="3" t="inlineStr"/>
    </row>
    <row r="6">
      <c r="A6" t="inlineStr">
        <is>
          <t>Trading as</t>
        </is>
      </c>
      <c r="B6" s="6" t="inlineStr">
        <is>
          <t>Maji Safi</t>
        </is>
      </c>
      <c r="C6" s="3" t="inlineStr"/>
    </row>
    <row r="7">
      <c r="A7" t="inlineStr">
        <is>
          <t>Site</t>
        </is>
      </c>
      <c r="B7" s="6" t="inlineStr">
        <is>
          <t>Lukuli Road, Buziga, Makindye, Kampala</t>
        </is>
      </c>
      <c r="C7" s="3" t="inlineStr"/>
    </row>
    <row r="8">
      <c r="A8" t="inlineStr">
        <is>
          <t>FY1 start date</t>
        </is>
      </c>
      <c r="B8" s="7" t="inlineStr">
        <is>
          <t>2026-10-01</t>
        </is>
      </c>
      <c r="C8" s="3" t="inlineStr">
        <is>
          <t>First day of trading. Everything keys off this.</t>
        </is>
      </c>
    </row>
    <row r="10">
      <c r="A10" s="4" t="inlineStr">
        <is>
          <t>TAX REGISTRATION — see GAPS, several unconfirmed</t>
        </is>
      </c>
      <c r="B10" s="5" t="n"/>
      <c r="C10" s="5" t="n"/>
    </row>
    <row r="11">
      <c r="A11" t="inlineStr">
        <is>
          <t>URA TIN</t>
        </is>
      </c>
      <c r="B11" s="6" t="n"/>
      <c r="C11" s="3" t="inlineStr">
        <is>
          <t>GAP-01</t>
        </is>
      </c>
    </row>
    <row r="12">
      <c r="A12" t="inlineStr">
        <is>
          <t>VAT registered? (YES/NO)</t>
        </is>
      </c>
      <c r="B12" s="6" t="n"/>
      <c r="C12" s="3" t="inlineStr">
        <is>
          <t>GAP-02 — changes whether output VAT is charged from day 1</t>
        </is>
      </c>
    </row>
    <row r="13">
      <c r="A13" t="inlineStr">
        <is>
          <t>VAT effective date</t>
        </is>
      </c>
      <c r="B13" s="7" t="n"/>
      <c r="C13" s="3" t="inlineStr">
        <is>
          <t>GAP-02</t>
        </is>
      </c>
    </row>
    <row r="14">
      <c r="A14" t="inlineStr">
        <is>
          <t>VAT rate</t>
        </is>
      </c>
      <c r="B14" s="8" t="n">
        <v>0.18</v>
      </c>
      <c r="C14" s="3" t="inlineStr">
        <is>
          <t>Standard rate</t>
        </is>
      </c>
    </row>
    <row r="15">
      <c r="A15" t="inlineStr">
        <is>
          <t>Input VAT recovery assumption</t>
        </is>
      </c>
      <c r="B15" s="8" t="n">
        <v>0.75</v>
      </c>
      <c r="C15" s="3" t="inlineStr">
        <is>
          <t>Model assumes 75%. Earned by chasing EFRIS invoices.</t>
        </is>
      </c>
    </row>
    <row r="16">
      <c r="A16" t="inlineStr">
        <is>
          <t>EFRIS enrolled? (YES/NO)</t>
        </is>
      </c>
      <c r="B16" s="6" t="n"/>
      <c r="C16" s="3" t="inlineStr">
        <is>
          <t>GAP-03 — the 75% above depends on this</t>
        </is>
      </c>
    </row>
    <row r="17">
      <c r="A17" t="inlineStr">
        <is>
          <t>Excise — ad valorem rate</t>
        </is>
      </c>
      <c r="B17" s="8" t="n">
        <v>0.1</v>
      </c>
      <c r="C17" s="3" t="inlineStr">
        <is>
          <t>Law: the HIGHER of this or the specific rate</t>
        </is>
      </c>
    </row>
    <row r="18">
      <c r="A18" t="inlineStr">
        <is>
          <t>Excise — specific rate (UGX/litre)</t>
        </is>
      </c>
      <c r="B18" s="9" t="n">
        <v>50</v>
      </c>
      <c r="C18" s="3" t="inlineStr">
        <is>
          <t>On a 20L jar the specific rate usually wins</t>
        </is>
      </c>
    </row>
    <row r="19">
      <c r="A19" t="inlineStr">
        <is>
          <t>Digital tax stamp (UGX/unit)</t>
        </is>
      </c>
      <c r="B19" s="9" t="n">
        <v>15</v>
      </c>
      <c r="C19" s="3" t="inlineStr">
        <is>
          <t>All products, refills included</t>
        </is>
      </c>
    </row>
    <row r="20">
      <c r="A20" t="inlineStr">
        <is>
          <t>Corporate income tax rate</t>
        </is>
      </c>
      <c r="B20" s="8" t="n">
        <v>0.3</v>
      </c>
      <c r="C20" s="3" t="inlineStr">
        <is>
          <t>Losses carried forward. Accrues monthly, PAID QUARTERLY.</t>
        </is>
      </c>
    </row>
    <row r="21">
      <c r="A21" t="inlineStr">
        <is>
          <t>NSSF employee rate</t>
        </is>
      </c>
      <c r="B21" s="8" t="n">
        <v>0.05</v>
      </c>
      <c r="C21" s="3" t="inlineStr"/>
    </row>
    <row r="22">
      <c r="A22" t="inlineStr">
        <is>
          <t>NSSF EMPLOYER rate</t>
        </is>
      </c>
      <c r="B22" s="8" t="n"/>
      <c r="C22" s="3" t="inlineStr">
        <is>
          <t>GAP-04 — model records 5%, statutory is 10%. CONFIRM.</t>
        </is>
      </c>
    </row>
    <row r="23">
      <c r="A23" t="inlineStr">
        <is>
          <t>Local Service Tax (KCCA) — in model?</t>
        </is>
      </c>
      <c r="B23" s="6" t="inlineStr">
        <is>
          <t>NO</t>
        </is>
      </c>
      <c r="C23" s="3" t="inlineStr">
        <is>
          <t>GAP-05 — absent entirely. Needs adding.</t>
        </is>
      </c>
    </row>
    <row r="24">
      <c r="A24" t="inlineStr">
        <is>
          <t>Trading licence (KCCA, per year)</t>
        </is>
      </c>
      <c r="B24" s="10" t="n">
        <v>600000</v>
      </c>
      <c r="C24" s="3" t="inlineStr"/>
    </row>
    <row r="25">
      <c r="A25" t="inlineStr">
        <is>
          <t>UNBS certification status</t>
        </is>
      </c>
      <c r="B25" s="6" t="n"/>
      <c r="C25" s="3" t="inlineStr">
        <is>
          <t>GAP-06 — a delay pushes the whole ramp right</t>
        </is>
      </c>
    </row>
    <row r="27">
      <c r="A27" s="4" t="inlineStr">
        <is>
          <t>OPENING BALANCES AT 1 OCTOBER 2026 — count them, do not estimate</t>
        </is>
      </c>
      <c r="B27" s="5" t="n"/>
      <c r="C27" s="5" t="n"/>
    </row>
    <row r="28">
      <c r="A28" t="inlineStr">
        <is>
          <t>Opening cash — bank</t>
        </is>
      </c>
      <c r="B28" s="10" t="n"/>
      <c r="C28" s="3" t="inlineStr">
        <is>
          <t>GAP-07 — actual statement balance at 30 Sep</t>
        </is>
      </c>
    </row>
    <row r="29">
      <c r="A29" t="inlineStr">
        <is>
          <t>Opening cash — mobile money</t>
        </is>
      </c>
      <c r="B29" s="10" t="n"/>
      <c r="C29" s="3" t="inlineStr">
        <is>
          <t>GAP-07</t>
        </is>
      </c>
    </row>
    <row r="30">
      <c r="A30" t="inlineStr">
        <is>
          <t>Opening cash — petty cash</t>
        </is>
      </c>
      <c r="B30" s="10" t="n"/>
      <c r="C30" s="3" t="inlineStr">
        <is>
          <t>GAP-07</t>
        </is>
      </c>
    </row>
    <row r="31">
      <c r="A31" t="inlineStr">
        <is>
          <t>Opening inventory (counted)</t>
        </is>
      </c>
      <c r="B31" s="10" t="n"/>
      <c r="C31" s="3" t="inlineStr">
        <is>
          <t>GAP-08 — physical count, not the model's 5,112,500</t>
        </is>
      </c>
    </row>
    <row r="32">
      <c r="A32" t="inlineStr">
        <is>
          <t>Jars already in the field at 1 Oct</t>
        </is>
      </c>
      <c r="B32" s="9" t="n"/>
      <c r="C32" s="3" t="inlineStr">
        <is>
          <t>GAP-09</t>
        </is>
      </c>
    </row>
    <row r="33">
      <c r="A33" t="inlineStr">
        <is>
          <t>Deposits already collected at 1 Oct</t>
        </is>
      </c>
      <c r="B33" s="10" t="n"/>
      <c r="C33" s="3" t="inlineStr">
        <is>
          <t>GAP-09 — this is a liability from day one</t>
        </is>
      </c>
    </row>
    <row r="34">
      <c r="A34" t="inlineStr">
        <is>
          <t>Trade receivables at 1 Oct</t>
        </is>
      </c>
      <c r="B34" s="10" t="n"/>
      <c r="C34" s="3" t="inlineStr">
        <is>
          <t>GAP-10</t>
        </is>
      </c>
    </row>
    <row r="35">
      <c r="A35" t="inlineStr">
        <is>
          <t>Trade payables at 1 Oct</t>
        </is>
      </c>
      <c r="B35" s="10" t="n"/>
      <c r="C35" s="3" t="inlineStr">
        <is>
          <t>GAP-10</t>
        </is>
      </c>
    </row>
    <row r="36">
      <c r="A36" t="inlineStr">
        <is>
          <t>Loans outstanding at 1 Oct</t>
        </is>
      </c>
      <c r="B36" s="10" t="n"/>
      <c r="C36" s="3" t="inlineStr">
        <is>
          <t>GAP-10</t>
        </is>
      </c>
    </row>
    <row r="37">
      <c r="A37" t="inlineStr">
        <is>
          <t>Plant and equipment at cost</t>
        </is>
      </c>
      <c r="B37" s="10" t="n">
        <v>315000000</v>
      </c>
      <c r="C37" s="3" t="inlineStr">
        <is>
          <t>From the model</t>
        </is>
      </c>
    </row>
    <row r="38">
      <c r="A38" t="inlineStr">
        <is>
          <t>Depreciation life (months)</t>
        </is>
      </c>
      <c r="B38" s="9" t="n">
        <v>60</v>
      </c>
      <c r="C38" s="3" t="inlineStr">
        <is>
          <t>5 years. CONFIRM against supplier life — GAP-11</t>
        </is>
      </c>
    </row>
    <row r="40">
      <c r="A40" s="4" t="inlineStr">
        <is>
          <t>POLICY</t>
        </is>
      </c>
      <c r="B40" s="5" t="n"/>
      <c r="C40" s="5" t="n"/>
    </row>
    <row r="41">
      <c r="A41" t="inlineStr">
        <is>
          <t>MINIMUM CASH FLOOR</t>
        </is>
      </c>
      <c r="B41" s="10" t="n">
        <v>20000000</v>
      </c>
      <c r="C41" s="3" t="inlineStr">
        <is>
          <t>Below this, the alarm fires and something gets cut</t>
        </is>
      </c>
    </row>
    <row r="42">
      <c r="A42" t="inlineStr">
        <is>
          <t>Variance investigation threshold — %</t>
        </is>
      </c>
      <c r="B42" s="8" t="n">
        <v>0.05</v>
      </c>
      <c r="C42" s="3" t="inlineStr">
        <is>
          <t>Investigate any line &gt;5% AND &gt; the amount below</t>
        </is>
      </c>
    </row>
    <row r="43">
      <c r="A43" t="inlineStr">
        <is>
          <t>Variance investigation threshold — UGX</t>
        </is>
      </c>
      <c r="B43" s="10" t="n">
        <v>2000000</v>
      </c>
      <c r="C43" s="3" t="inlineStr">
        <is>
          <t>Renew gives no rule. This one is ours.</t>
        </is>
      </c>
    </row>
    <row r="44">
      <c r="A44" t="inlineStr">
        <is>
          <t>Monthly close deadline</t>
        </is>
      </c>
      <c r="B44" s="6" t="inlineStr">
        <is>
          <t>10th</t>
        </is>
      </c>
      <c r="C44" s="3" t="inlineStr">
        <is>
          <t>Renew: 'Close on the 10th!'</t>
        </is>
      </c>
    </row>
    <row r="45">
      <c r="A45" t="inlineStr">
        <is>
          <t>Monthly report to readers</t>
        </is>
      </c>
      <c r="B45" s="6" t="inlineStr">
        <is>
          <t>15th</t>
        </is>
      </c>
      <c r="C45" s="3" t="inlineStr">
        <is>
          <t>One page, LEAD format, same day every month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6"/>
  <sheetViews>
    <sheetView workbookViewId="0">
      <pane ySplit="4" topLeftCell="A5" activePane="bottomLeft" state="frozen"/>
      <selection pane="bottomLeft" activeCell="A1" sqref="A1"/>
    </sheetView>
  </sheetViews>
  <sheetFormatPr baseColWidth="8" defaultRowHeight="15"/>
  <cols>
    <col width="12" customWidth="1" min="1" max="1"/>
    <col width="46" customWidth="1" min="2" max="2"/>
    <col width="16" customWidth="1" min="3" max="3"/>
    <col width="20" customWidth="1" min="4" max="4"/>
    <col width="14" customWidth="1" min="5" max="5"/>
    <col width="44" customWidth="1" min="6" max="6"/>
  </cols>
  <sheetData>
    <row r="1">
      <c r="A1" s="1" t="inlineStr">
        <is>
          <t>CHART OF ACCOUNTS</t>
        </is>
      </c>
    </row>
    <row r="2">
      <c r="A2" s="3" t="inlineStr">
        <is>
          <t>The controlled vocabulary. Add a line HERE before using it in JOURNAL. This is what migrates to Xero/QuickBooks.</t>
        </is>
      </c>
    </row>
    <row r="4">
      <c r="A4" s="11" t="inlineStr">
        <is>
          <t>Code</t>
        </is>
      </c>
      <c r="B4" s="11" t="inlineStr">
        <is>
          <t>Account name</t>
        </is>
      </c>
      <c r="C4" s="11" t="inlineStr">
        <is>
          <t>Class</t>
        </is>
      </c>
      <c r="D4" s="11" t="inlineStr">
        <is>
          <t>Statement</t>
        </is>
      </c>
      <c r="E4" s="11" t="inlineStr">
        <is>
          <t>VAT code</t>
        </is>
      </c>
      <c r="F4" s="11" t="inlineStr">
        <is>
          <t>Notes</t>
        </is>
      </c>
    </row>
    <row r="5">
      <c r="A5" t="inlineStr">
        <is>
          <t>1000</t>
        </is>
      </c>
      <c r="B5" t="inlineStr">
        <is>
          <t>Cash — bank</t>
        </is>
      </c>
      <c r="C5" t="inlineStr">
        <is>
          <t>Asset</t>
        </is>
      </c>
      <c r="D5" t="inlineStr">
        <is>
          <t>Balance Sheet</t>
        </is>
      </c>
      <c r="E5" t="inlineStr">
        <is>
          <t>N/A</t>
        </is>
      </c>
      <c r="F5" t="inlineStr"/>
    </row>
    <row r="6">
      <c r="A6" t="inlineStr">
        <is>
          <t>1010</t>
        </is>
      </c>
      <c r="B6" t="inlineStr">
        <is>
          <t>Cash — mobile money</t>
        </is>
      </c>
      <c r="C6" t="inlineStr">
        <is>
          <t>Asset</t>
        </is>
      </c>
      <c r="D6" t="inlineStr">
        <is>
          <t>Balance Sheet</t>
        </is>
      </c>
      <c r="E6" t="inlineStr">
        <is>
          <t>N/A</t>
        </is>
      </c>
      <c r="F6" t="inlineStr">
        <is>
          <t>MTN / Airtel merchant</t>
        </is>
      </c>
    </row>
    <row r="7">
      <c r="A7" t="inlineStr">
        <is>
          <t>1020</t>
        </is>
      </c>
      <c r="B7" t="inlineStr">
        <is>
          <t>Cash — petty cash</t>
        </is>
      </c>
      <c r="C7" t="inlineStr">
        <is>
          <t>Asset</t>
        </is>
      </c>
      <c r="D7" t="inlineStr">
        <is>
          <t>Balance Sheet</t>
        </is>
      </c>
      <c r="E7" t="inlineStr">
        <is>
          <t>N/A</t>
        </is>
      </c>
      <c r="F7" t="inlineStr"/>
    </row>
    <row r="8">
      <c r="A8" t="inlineStr">
        <is>
          <t>1100</t>
        </is>
      </c>
      <c r="B8" t="inlineStr">
        <is>
          <t>Trade receivables</t>
        </is>
      </c>
      <c r="C8" t="inlineStr">
        <is>
          <t>Asset</t>
        </is>
      </c>
      <c r="D8" t="inlineStr">
        <is>
          <t>Balance Sheet</t>
        </is>
      </c>
      <c r="E8" t="inlineStr">
        <is>
          <t>N/A</t>
        </is>
      </c>
      <c r="F8" t="inlineStr">
        <is>
          <t>Zero in the plan. Will not stay zero.</t>
        </is>
      </c>
    </row>
    <row r="9">
      <c r="A9" t="inlineStr">
        <is>
          <t>1200</t>
        </is>
      </c>
      <c r="B9" t="inlineStr">
        <is>
          <t>Inventory — preforms and bottles</t>
        </is>
      </c>
      <c r="C9" t="inlineStr">
        <is>
          <t>Asset</t>
        </is>
      </c>
      <c r="D9" t="inlineStr">
        <is>
          <t>Balance Sheet</t>
        </is>
      </c>
      <c r="E9" t="inlineStr">
        <is>
          <t>Std</t>
        </is>
      </c>
      <c r="F9" t="inlineStr"/>
    </row>
    <row r="10">
      <c r="A10" t="inlineStr">
        <is>
          <t>1210</t>
        </is>
      </c>
      <c r="B10" t="inlineStr">
        <is>
          <t>Inventory — caps and labels</t>
        </is>
      </c>
      <c r="C10" t="inlineStr">
        <is>
          <t>Asset</t>
        </is>
      </c>
      <c r="D10" t="inlineStr">
        <is>
          <t>Balance Sheet</t>
        </is>
      </c>
      <c r="E10" t="inlineStr">
        <is>
          <t>Std</t>
        </is>
      </c>
      <c r="F10" t="inlineStr"/>
    </row>
    <row r="11">
      <c r="A11" t="inlineStr">
        <is>
          <t>1220</t>
        </is>
      </c>
      <c r="B11" t="inlineStr">
        <is>
          <t>Inventory — jars held for issue</t>
        </is>
      </c>
      <c r="C11" t="inlineStr">
        <is>
          <t>Asset</t>
        </is>
      </c>
      <c r="D11" t="inlineStr">
        <is>
          <t>Balance Sheet</t>
        </is>
      </c>
      <c r="E11" t="inlineStr">
        <is>
          <t>Std</t>
        </is>
      </c>
      <c r="F11" t="inlineStr"/>
    </row>
    <row r="12">
      <c r="A12" t="inlineStr">
        <is>
          <t>1230</t>
        </is>
      </c>
      <c r="B12" t="inlineStr">
        <is>
          <t>Inventory — treatment consumables</t>
        </is>
      </c>
      <c r="C12" t="inlineStr">
        <is>
          <t>Asset</t>
        </is>
      </c>
      <c r="D12" t="inlineStr">
        <is>
          <t>Balance Sheet</t>
        </is>
      </c>
      <c r="E12" t="inlineStr">
        <is>
          <t>Std</t>
        </is>
      </c>
      <c r="F12" t="inlineStr">
        <is>
          <t>Membranes, filters, chemicals</t>
        </is>
      </c>
    </row>
    <row r="13">
      <c r="A13" t="inlineStr">
        <is>
          <t>1300</t>
        </is>
      </c>
      <c r="B13" t="inlineStr">
        <is>
          <t>Input VAT recoverable</t>
        </is>
      </c>
      <c r="C13" t="inlineStr">
        <is>
          <t>Asset</t>
        </is>
      </c>
      <c r="D13" t="inlineStr">
        <is>
          <t>Balance Sheet</t>
        </is>
      </c>
      <c r="E13" t="inlineStr">
        <is>
          <t>N/A</t>
        </is>
      </c>
      <c r="F13" t="inlineStr">
        <is>
          <t>The 75%/90% recovery lives here</t>
        </is>
      </c>
    </row>
    <row r="14">
      <c r="A14" t="inlineStr">
        <is>
          <t>1500</t>
        </is>
      </c>
      <c r="B14" t="inlineStr">
        <is>
          <t>Plant and equipment at cost</t>
        </is>
      </c>
      <c r="C14" t="inlineStr">
        <is>
          <t>Asset</t>
        </is>
      </c>
      <c r="D14" t="inlineStr">
        <is>
          <t>Balance Sheet</t>
        </is>
      </c>
      <c r="E14" t="inlineStr">
        <is>
          <t>Std</t>
        </is>
      </c>
      <c r="F14" t="inlineStr"/>
    </row>
    <row r="15">
      <c r="A15" t="inlineStr">
        <is>
          <t>1510</t>
        </is>
      </c>
      <c r="B15" t="inlineStr">
        <is>
          <t>Accumulated depreciation</t>
        </is>
      </c>
      <c r="C15" t="inlineStr">
        <is>
          <t>Asset</t>
        </is>
      </c>
      <c r="D15" t="inlineStr">
        <is>
          <t>Balance Sheet</t>
        </is>
      </c>
      <c r="E15" t="inlineStr">
        <is>
          <t>N/A</t>
        </is>
      </c>
      <c r="F15" t="inlineStr">
        <is>
          <t>Contra-asset</t>
        </is>
      </c>
    </row>
    <row r="16">
      <c r="A16" t="inlineStr">
        <is>
          <t>2000</t>
        </is>
      </c>
      <c r="B16" t="inlineStr">
        <is>
          <t>Trade payables</t>
        </is>
      </c>
      <c r="C16" t="inlineStr">
        <is>
          <t>Liability</t>
        </is>
      </c>
      <c r="D16" t="inlineStr">
        <is>
          <t>Balance Sheet</t>
        </is>
      </c>
      <c r="E16" t="inlineStr">
        <is>
          <t>N/A</t>
        </is>
      </c>
      <c r="F16" t="inlineStr">
        <is>
          <t>Zero in the plan</t>
        </is>
      </c>
    </row>
    <row r="17">
      <c r="A17" t="inlineStr">
        <is>
          <t>2100</t>
        </is>
      </c>
      <c r="B17" t="inlineStr">
        <is>
          <t>CUSTOMER DEPOSITS — refundable</t>
        </is>
      </c>
      <c r="C17" t="inlineStr">
        <is>
          <t>Liability</t>
        </is>
      </c>
      <c r="D17" t="inlineStr">
        <is>
          <t>Balance Sheet</t>
        </is>
      </c>
      <c r="E17" t="inlineStr">
        <is>
          <t>N/A</t>
        </is>
      </c>
      <c r="F17" t="inlineStr">
        <is>
          <t>NOT revenue. Our largest liability.</t>
        </is>
      </c>
    </row>
    <row r="18">
      <c r="A18" t="inlineStr">
        <is>
          <t>2200</t>
        </is>
      </c>
      <c r="B18" t="inlineStr">
        <is>
          <t>Output VAT payable</t>
        </is>
      </c>
      <c r="C18" t="inlineStr">
        <is>
          <t>Liability</t>
        </is>
      </c>
      <c r="D18" t="inlineStr">
        <is>
          <t>Balance Sheet</t>
        </is>
      </c>
      <c r="E18" t="inlineStr">
        <is>
          <t>N/A</t>
        </is>
      </c>
      <c r="F18" t="inlineStr">
        <is>
          <t>Collected for URA</t>
        </is>
      </c>
    </row>
    <row r="19">
      <c r="A19" t="inlineStr">
        <is>
          <t>2210</t>
        </is>
      </c>
      <c r="B19" t="inlineStr">
        <is>
          <t>Excise duty payable</t>
        </is>
      </c>
      <c r="C19" t="inlineStr">
        <is>
          <t>Liability</t>
        </is>
      </c>
      <c r="D19" t="inlineStr">
        <is>
          <t>Balance Sheet</t>
        </is>
      </c>
      <c r="E19" t="inlineStr">
        <is>
          <t>N/A</t>
        </is>
      </c>
      <c r="F19" t="inlineStr">
        <is>
          <t>Collected for URA</t>
        </is>
      </c>
    </row>
    <row r="20">
      <c r="A20" t="inlineStr">
        <is>
          <t>2220</t>
        </is>
      </c>
      <c r="B20" t="inlineStr">
        <is>
          <t>Digital tax stamps payable</t>
        </is>
      </c>
      <c r="C20" t="inlineStr">
        <is>
          <t>Liability</t>
        </is>
      </c>
      <c r="D20" t="inlineStr">
        <is>
          <t>Balance Sheet</t>
        </is>
      </c>
      <c r="E20" t="inlineStr">
        <is>
          <t>N/A</t>
        </is>
      </c>
      <c r="F20" t="inlineStr"/>
    </row>
    <row r="21">
      <c r="A21" t="inlineStr">
        <is>
          <t>2300</t>
        </is>
      </c>
      <c r="B21" t="inlineStr">
        <is>
          <t>PAYE payable</t>
        </is>
      </c>
      <c r="C21" t="inlineStr">
        <is>
          <t>Liability</t>
        </is>
      </c>
      <c r="D21" t="inlineStr">
        <is>
          <t>Balance Sheet</t>
        </is>
      </c>
      <c r="E21" t="inlineStr">
        <is>
          <t>N/A</t>
        </is>
      </c>
      <c r="F21" t="inlineStr">
        <is>
          <t>Withheld from wages</t>
        </is>
      </c>
    </row>
    <row r="22">
      <c r="A22" t="inlineStr">
        <is>
          <t>2310</t>
        </is>
      </c>
      <c r="B22" t="inlineStr">
        <is>
          <t>NSSF payable</t>
        </is>
      </c>
      <c r="C22" t="inlineStr">
        <is>
          <t>Liability</t>
        </is>
      </c>
      <c r="D22" t="inlineStr">
        <is>
          <t>Balance Sheet</t>
        </is>
      </c>
      <c r="E22" t="inlineStr">
        <is>
          <t>N/A</t>
        </is>
      </c>
      <c r="F22" t="inlineStr">
        <is>
          <t>Employee + employer</t>
        </is>
      </c>
    </row>
    <row r="23">
      <c r="A23" t="inlineStr">
        <is>
          <t>2320</t>
        </is>
      </c>
      <c r="B23" t="inlineStr">
        <is>
          <t>Local Service Tax payable</t>
        </is>
      </c>
      <c r="C23" t="inlineStr">
        <is>
          <t>Liability</t>
        </is>
      </c>
      <c r="D23" t="inlineStr">
        <is>
          <t>Balance Sheet</t>
        </is>
      </c>
      <c r="E23" t="inlineStr">
        <is>
          <t>N/A</t>
        </is>
      </c>
      <c r="F23" s="12" t="inlineStr">
        <is>
          <t>GAP-05 — not yet modelled</t>
        </is>
      </c>
    </row>
    <row r="24">
      <c r="A24" t="inlineStr">
        <is>
          <t>2400</t>
        </is>
      </c>
      <c r="B24" t="inlineStr">
        <is>
          <t>Corporate tax payable</t>
        </is>
      </c>
      <c r="C24" t="inlineStr">
        <is>
          <t>Liability</t>
        </is>
      </c>
      <c r="D24" t="inlineStr">
        <is>
          <t>Balance Sheet</t>
        </is>
      </c>
      <c r="E24" t="inlineStr">
        <is>
          <t>N/A</t>
        </is>
      </c>
      <c r="F24" t="inlineStr">
        <is>
          <t>Accrues monthly, paid quarterly</t>
        </is>
      </c>
    </row>
    <row r="25">
      <c r="A25" t="inlineStr">
        <is>
          <t>2500</t>
        </is>
      </c>
      <c r="B25" t="inlineStr">
        <is>
          <t>Loans and borrowings</t>
        </is>
      </c>
      <c r="C25" t="inlineStr">
        <is>
          <t>Liability</t>
        </is>
      </c>
      <c r="D25" t="inlineStr">
        <is>
          <t>Balance Sheet</t>
        </is>
      </c>
      <c r="E25" t="inlineStr">
        <is>
          <t>N/A</t>
        </is>
      </c>
      <c r="F25" t="inlineStr">
        <is>
          <t>None today</t>
        </is>
      </c>
    </row>
    <row r="26">
      <c r="A26" t="inlineStr">
        <is>
          <t>3000</t>
        </is>
      </c>
      <c r="B26" t="inlineStr">
        <is>
          <t>Share capital</t>
        </is>
      </c>
      <c r="C26" t="inlineStr">
        <is>
          <t>Equity</t>
        </is>
      </c>
      <c r="D26" t="inlineStr">
        <is>
          <t>Balance Sheet</t>
        </is>
      </c>
      <c r="E26" t="inlineStr">
        <is>
          <t>N/A</t>
        </is>
      </c>
      <c r="F26" s="12" t="inlineStr">
        <is>
          <t>GAP-12 — real cap table unknown</t>
        </is>
      </c>
    </row>
    <row r="27">
      <c r="A27" t="inlineStr">
        <is>
          <t>3100</t>
        </is>
      </c>
      <c r="B27" t="inlineStr">
        <is>
          <t>Retained earnings</t>
        </is>
      </c>
      <c r="C27" t="inlineStr">
        <is>
          <t>Equity</t>
        </is>
      </c>
      <c r="D27" t="inlineStr">
        <is>
          <t>Balance Sheet</t>
        </is>
      </c>
      <c r="E27" t="inlineStr">
        <is>
          <t>N/A</t>
        </is>
      </c>
      <c r="F27" t="inlineStr"/>
    </row>
    <row r="28">
      <c r="A28" s="13" t="inlineStr">
        <is>
          <t>4000</t>
        </is>
      </c>
      <c r="B28" t="inlineStr">
        <is>
          <t>Revenue — 20L refill</t>
        </is>
      </c>
      <c r="C28" t="inlineStr">
        <is>
          <t>Revenue</t>
        </is>
      </c>
      <c r="D28" t="inlineStr">
        <is>
          <t>P&amp;L</t>
        </is>
      </c>
      <c r="E28" t="inlineStr">
        <is>
          <t>Std</t>
        </is>
      </c>
      <c r="F28" t="inlineStr">
        <is>
          <t>NET of VAT and excise</t>
        </is>
      </c>
    </row>
    <row r="29">
      <c r="A29" s="13" t="inlineStr">
        <is>
          <t>4010</t>
        </is>
      </c>
      <c r="B29" t="inlineStr">
        <is>
          <t>Revenue — 20L single-use</t>
        </is>
      </c>
      <c r="C29" t="inlineStr">
        <is>
          <t>Revenue</t>
        </is>
      </c>
      <c r="D29" t="inlineStr">
        <is>
          <t>P&amp;L</t>
        </is>
      </c>
      <c r="E29" t="inlineStr">
        <is>
          <t>Std</t>
        </is>
      </c>
      <c r="F29" t="inlineStr"/>
    </row>
    <row r="30">
      <c r="A30" s="13" t="inlineStr">
        <is>
          <t>4020</t>
        </is>
      </c>
      <c r="B30" t="inlineStr">
        <is>
          <t>Revenue — 5L single-use</t>
        </is>
      </c>
      <c r="C30" t="inlineStr">
        <is>
          <t>Revenue</t>
        </is>
      </c>
      <c r="D30" t="inlineStr">
        <is>
          <t>P&amp;L</t>
        </is>
      </c>
      <c r="E30" t="inlineStr">
        <is>
          <t>Std</t>
        </is>
      </c>
      <c r="F30" t="inlineStr"/>
    </row>
    <row r="31">
      <c r="A31" s="13" t="inlineStr">
        <is>
          <t>4100</t>
        </is>
      </c>
      <c r="B31" t="inlineStr">
        <is>
          <t>Revenue — delivery charges</t>
        </is>
      </c>
      <c r="C31" t="inlineStr">
        <is>
          <t>Revenue</t>
        </is>
      </c>
      <c r="D31" t="inlineStr">
        <is>
          <t>P&amp;L</t>
        </is>
      </c>
      <c r="E31" t="inlineStr">
        <is>
          <t>Std</t>
        </is>
      </c>
      <c r="F31" t="inlineStr">
        <is>
          <t>If charged separately</t>
        </is>
      </c>
    </row>
    <row r="32">
      <c r="A32" t="inlineStr">
        <is>
          <t>5000</t>
        </is>
      </c>
      <c r="B32" t="inlineStr">
        <is>
          <t>COGS — preforms and bottles</t>
        </is>
      </c>
      <c r="C32" t="inlineStr">
        <is>
          <t>Cost of sales</t>
        </is>
      </c>
      <c r="D32" t="inlineStr">
        <is>
          <t>P&amp;L</t>
        </is>
      </c>
      <c r="E32" t="inlineStr">
        <is>
          <t>Std</t>
        </is>
      </c>
      <c r="F32" s="12" t="inlineStr">
        <is>
          <t>GAP-13 — need the bill of materials</t>
        </is>
      </c>
    </row>
    <row r="33">
      <c r="A33" t="inlineStr">
        <is>
          <t>5010</t>
        </is>
      </c>
      <c r="B33" t="inlineStr">
        <is>
          <t>COGS — caps, labels, shrink wrap</t>
        </is>
      </c>
      <c r="C33" t="inlineStr">
        <is>
          <t>Cost of sales</t>
        </is>
      </c>
      <c r="D33" t="inlineStr">
        <is>
          <t>P&amp;L</t>
        </is>
      </c>
      <c r="E33" t="inlineStr">
        <is>
          <t>Std</t>
        </is>
      </c>
      <c r="F33" s="12" t="inlineStr">
        <is>
          <t>GAP-13</t>
        </is>
      </c>
    </row>
    <row r="34">
      <c r="A34" t="inlineStr">
        <is>
          <t>5020</t>
        </is>
      </c>
      <c r="B34" t="inlineStr">
        <is>
          <t>COGS — treatment chemicals</t>
        </is>
      </c>
      <c r="C34" t="inlineStr">
        <is>
          <t>Cost of sales</t>
        </is>
      </c>
      <c r="D34" t="inlineStr">
        <is>
          <t>P&amp;L</t>
        </is>
      </c>
      <c r="E34" t="inlineStr">
        <is>
          <t>Std</t>
        </is>
      </c>
      <c r="F34" s="12" t="inlineStr">
        <is>
          <t>GAP-13</t>
        </is>
      </c>
    </row>
    <row r="35">
      <c r="A35" t="inlineStr">
        <is>
          <t>5030</t>
        </is>
      </c>
      <c r="B35" t="inlineStr">
        <is>
          <t>COGS — membranes and filters</t>
        </is>
      </c>
      <c r="C35" t="inlineStr">
        <is>
          <t>Cost of sales</t>
        </is>
      </c>
      <c r="D35" t="inlineStr">
        <is>
          <t>P&amp;L</t>
        </is>
      </c>
      <c r="E35" t="inlineStr">
        <is>
          <t>Std</t>
        </is>
      </c>
      <c r="F35" s="12" t="inlineStr">
        <is>
          <t>GAP-13 + GAP-11</t>
        </is>
      </c>
    </row>
    <row r="36">
      <c r="A36" t="inlineStr">
        <is>
          <t>5040</t>
        </is>
      </c>
      <c r="B36" t="inlineStr">
        <is>
          <t>COGS — plant electricity and water</t>
        </is>
      </c>
      <c r="C36" t="inlineStr">
        <is>
          <t>Cost of sales</t>
        </is>
      </c>
      <c r="D36" t="inlineStr">
        <is>
          <t>P&amp;L</t>
        </is>
      </c>
      <c r="E36" t="inlineStr">
        <is>
          <t>Std</t>
        </is>
      </c>
      <c r="F36" s="12" t="inlineStr">
        <is>
          <t>GAP-13</t>
        </is>
      </c>
    </row>
    <row r="37">
      <c r="A37" t="inlineStr">
        <is>
          <t>5050</t>
        </is>
      </c>
      <c r="B37" t="inlineStr">
        <is>
          <t>COGS — digital tax stamps</t>
        </is>
      </c>
      <c r="C37" t="inlineStr">
        <is>
          <t>Cost of sales</t>
        </is>
      </c>
      <c r="D37" t="inlineStr">
        <is>
          <t>P&amp;L</t>
        </is>
      </c>
      <c r="E37" t="inlineStr">
        <is>
          <t>N/A</t>
        </is>
      </c>
      <c r="F37" t="inlineStr">
        <is>
          <t>15 UGX per unit</t>
        </is>
      </c>
    </row>
    <row r="38">
      <c r="A38" t="inlineStr">
        <is>
          <t>5100</t>
        </is>
      </c>
      <c r="B38" t="inlineStr">
        <is>
          <t>JAR COST expensed on issue</t>
        </is>
      </c>
      <c r="C38" t="inlineStr">
        <is>
          <t>Cost of sales</t>
        </is>
      </c>
      <c r="D38" t="inlineStr">
        <is>
          <t>P&amp;L</t>
        </is>
      </c>
      <c r="E38" t="inlineStr">
        <is>
          <t>Std</t>
        </is>
      </c>
      <c r="F38" t="inlineStr">
        <is>
          <t>11,000/jar. Expensed, never capitalised.</t>
        </is>
      </c>
    </row>
    <row r="39">
      <c r="A39" t="inlineStr">
        <is>
          <t>5200</t>
        </is>
      </c>
      <c r="B39" t="inlineStr">
        <is>
          <t>Delivery and logistics</t>
        </is>
      </c>
      <c r="C39" t="inlineStr">
        <is>
          <t>Cost of sales</t>
        </is>
      </c>
      <c r="D39" t="inlineStr">
        <is>
          <t>P&amp;L</t>
        </is>
      </c>
      <c r="E39" t="inlineStr">
        <is>
          <t>Std</t>
        </is>
      </c>
      <c r="F39" s="12" t="inlineStr">
        <is>
          <t>GAP-14 — own vehicles or hired?</t>
        </is>
      </c>
    </row>
    <row r="40">
      <c r="A40" t="inlineStr">
        <is>
          <t>6000</t>
        </is>
      </c>
      <c r="B40" t="inlineStr">
        <is>
          <t>Salaries and wages</t>
        </is>
      </c>
      <c r="C40" t="inlineStr">
        <is>
          <t>Operating cost</t>
        </is>
      </c>
      <c r="D40" t="inlineStr">
        <is>
          <t>P&amp;L</t>
        </is>
      </c>
      <c r="E40" t="inlineStr">
        <is>
          <t>N/A</t>
        </is>
      </c>
      <c r="F40" s="12" t="inlineStr">
        <is>
          <t>GAP-15 — need the headcount register</t>
        </is>
      </c>
    </row>
    <row r="41">
      <c r="A41" t="inlineStr">
        <is>
          <t>6010</t>
        </is>
      </c>
      <c r="B41" t="inlineStr">
        <is>
          <t>NSSF — employer contribution</t>
        </is>
      </c>
      <c r="C41" t="inlineStr">
        <is>
          <t>Operating cost</t>
        </is>
      </c>
      <c r="D41" t="inlineStr">
        <is>
          <t>P&amp;L</t>
        </is>
      </c>
      <c r="E41" t="inlineStr">
        <is>
          <t>N/A</t>
        </is>
      </c>
      <c r="F41" s="12" t="inlineStr">
        <is>
          <t>GAP-04</t>
        </is>
      </c>
    </row>
    <row r="42">
      <c r="A42" t="inlineStr">
        <is>
          <t>6100</t>
        </is>
      </c>
      <c r="B42" t="inlineStr">
        <is>
          <t>Rent</t>
        </is>
      </c>
      <c r="C42" t="inlineStr">
        <is>
          <t>Operating cost</t>
        </is>
      </c>
      <c r="D42" t="inlineStr">
        <is>
          <t>P&amp;L</t>
        </is>
      </c>
      <c r="E42" t="inlineStr">
        <is>
          <t>Std</t>
        </is>
      </c>
      <c r="F42" s="12" t="inlineStr">
        <is>
          <t>GAP-16 — part of the 8,163,542 blend</t>
        </is>
      </c>
    </row>
    <row r="43">
      <c r="A43" t="inlineStr">
        <is>
          <t>6110</t>
        </is>
      </c>
      <c r="B43" t="inlineStr">
        <is>
          <t>Electricity and water — premises</t>
        </is>
      </c>
      <c r="C43" t="inlineStr">
        <is>
          <t>Operating cost</t>
        </is>
      </c>
      <c r="D43" t="inlineStr">
        <is>
          <t>P&amp;L</t>
        </is>
      </c>
      <c r="E43" t="inlineStr">
        <is>
          <t>Std</t>
        </is>
      </c>
      <c r="F43" s="12" t="inlineStr">
        <is>
          <t>GAP-16</t>
        </is>
      </c>
    </row>
    <row r="44">
      <c r="A44" t="inlineStr">
        <is>
          <t>6120</t>
        </is>
      </c>
      <c r="B44" t="inlineStr">
        <is>
          <t>Security</t>
        </is>
      </c>
      <c r="C44" t="inlineStr">
        <is>
          <t>Operating cost</t>
        </is>
      </c>
      <c r="D44" t="inlineStr">
        <is>
          <t>P&amp;L</t>
        </is>
      </c>
      <c r="E44" t="inlineStr">
        <is>
          <t>Std</t>
        </is>
      </c>
      <c r="F44" s="12" t="inlineStr">
        <is>
          <t>GAP-16</t>
        </is>
      </c>
    </row>
    <row r="45">
      <c r="A45" t="inlineStr">
        <is>
          <t>6130</t>
        </is>
      </c>
      <c r="B45" t="inlineStr">
        <is>
          <t>Internet, airtime and software</t>
        </is>
      </c>
      <c r="C45" t="inlineStr">
        <is>
          <t>Operating cost</t>
        </is>
      </c>
      <c r="D45" t="inlineStr">
        <is>
          <t>P&amp;L</t>
        </is>
      </c>
      <c r="E45" t="inlineStr">
        <is>
          <t>Std</t>
        </is>
      </c>
      <c r="F45" s="12" t="inlineStr">
        <is>
          <t>GAP-16</t>
        </is>
      </c>
    </row>
    <row r="46">
      <c r="A46" t="inlineStr">
        <is>
          <t>6140</t>
        </is>
      </c>
      <c r="B46" t="inlineStr">
        <is>
          <t>Insurance</t>
        </is>
      </c>
      <c r="C46" t="inlineStr">
        <is>
          <t>Operating cost</t>
        </is>
      </c>
      <c r="D46" t="inlineStr">
        <is>
          <t>P&amp;L</t>
        </is>
      </c>
      <c r="E46" t="inlineStr">
        <is>
          <t>Std</t>
        </is>
      </c>
      <c r="F46" t="inlineStr">
        <is>
          <t>~150,000/mo estimate. Get the real policy.</t>
        </is>
      </c>
    </row>
    <row r="47">
      <c r="A47" t="inlineStr">
        <is>
          <t>6150</t>
        </is>
      </c>
      <c r="B47" t="inlineStr">
        <is>
          <t>Repairs and maintenance</t>
        </is>
      </c>
      <c r="C47" t="inlineStr">
        <is>
          <t>Operating cost</t>
        </is>
      </c>
      <c r="D47" t="inlineStr">
        <is>
          <t>P&amp;L</t>
        </is>
      </c>
      <c r="E47" t="inlineStr">
        <is>
          <t>Std</t>
        </is>
      </c>
      <c r="F47" s="12" t="inlineStr">
        <is>
          <t>GAP-16</t>
        </is>
      </c>
    </row>
    <row r="48">
      <c r="A48" t="inlineStr">
        <is>
          <t>6160</t>
        </is>
      </c>
      <c r="B48" t="inlineStr">
        <is>
          <t>Cleaning and sanitation</t>
        </is>
      </c>
      <c r="C48" t="inlineStr">
        <is>
          <t>Operating cost</t>
        </is>
      </c>
      <c r="D48" t="inlineStr">
        <is>
          <t>P&amp;L</t>
        </is>
      </c>
      <c r="E48" t="inlineStr">
        <is>
          <t>Std</t>
        </is>
      </c>
      <c r="F48" s="12" t="inlineStr">
        <is>
          <t>GAP-16</t>
        </is>
      </c>
    </row>
    <row r="49">
      <c r="A49" t="inlineStr">
        <is>
          <t>6170</t>
        </is>
      </c>
      <c r="B49" t="inlineStr">
        <is>
          <t>Trading licence and statutory fees</t>
        </is>
      </c>
      <c r="C49" t="inlineStr">
        <is>
          <t>Operating cost</t>
        </is>
      </c>
      <c r="D49" t="inlineStr">
        <is>
          <t>P&amp;L</t>
        </is>
      </c>
      <c r="E49" t="inlineStr">
        <is>
          <t>N/A</t>
        </is>
      </c>
      <c r="F49" t="inlineStr">
        <is>
          <t>600,000/yr KCCA</t>
        </is>
      </c>
    </row>
    <row r="50">
      <c r="A50" t="inlineStr">
        <is>
          <t>6180</t>
        </is>
      </c>
      <c r="B50" t="inlineStr">
        <is>
          <t>Professional fees</t>
        </is>
      </c>
      <c r="C50" t="inlineStr">
        <is>
          <t>Operating cost</t>
        </is>
      </c>
      <c r="D50" t="inlineStr">
        <is>
          <t>P&amp;L</t>
        </is>
      </c>
      <c r="E50" t="inlineStr">
        <is>
          <t>Std</t>
        </is>
      </c>
      <c r="F50" s="12" t="inlineStr">
        <is>
          <t>Auditor, tax advisor — GAP-17</t>
        </is>
      </c>
    </row>
    <row r="51">
      <c r="A51" t="inlineStr">
        <is>
          <t>6190</t>
        </is>
      </c>
      <c r="B51" t="inlineStr">
        <is>
          <t>Marketing and customer acquisition</t>
        </is>
      </c>
      <c r="C51" t="inlineStr">
        <is>
          <t>Operating cost</t>
        </is>
      </c>
      <c r="D51" t="inlineStr">
        <is>
          <t>P&amp;L</t>
        </is>
      </c>
      <c r="E51" t="inlineStr">
        <is>
          <t>Std</t>
        </is>
      </c>
      <c r="F51" s="12" t="inlineStr">
        <is>
          <t>GAP-18 — CAC is not modelled at all</t>
        </is>
      </c>
    </row>
    <row r="52">
      <c r="A52" t="inlineStr">
        <is>
          <t>6200</t>
        </is>
      </c>
      <c r="B52" t="inlineStr">
        <is>
          <t>Transaction and bank fees</t>
        </is>
      </c>
      <c r="C52" t="inlineStr">
        <is>
          <t>Operating cost</t>
        </is>
      </c>
      <c r="D52" t="inlineStr">
        <is>
          <t>P&amp;L</t>
        </is>
      </c>
      <c r="E52" t="inlineStr">
        <is>
          <t>N/A</t>
        </is>
      </c>
      <c r="F52" t="inlineStr">
        <is>
          <t>0.5% of gross billings</t>
        </is>
      </c>
    </row>
    <row r="53">
      <c r="A53" t="inlineStr">
        <is>
          <t>6210</t>
        </is>
      </c>
      <c r="B53" t="inlineStr">
        <is>
          <t>Other operating costs</t>
        </is>
      </c>
      <c r="C53" t="inlineStr">
        <is>
          <t>Operating cost</t>
        </is>
      </c>
      <c r="D53" t="inlineStr">
        <is>
          <t>P&amp;L</t>
        </is>
      </c>
      <c r="E53" t="inlineStr">
        <is>
          <t>Std</t>
        </is>
      </c>
      <c r="F53" t="inlineStr">
        <is>
          <t>Keep this small. If it grows, split it.</t>
        </is>
      </c>
    </row>
    <row r="54">
      <c r="A54" t="inlineStr">
        <is>
          <t>7000</t>
        </is>
      </c>
      <c r="B54" t="inlineStr">
        <is>
          <t>Depreciation</t>
        </is>
      </c>
      <c r="C54" t="inlineStr">
        <is>
          <t>Operating cost</t>
        </is>
      </c>
      <c r="D54" t="inlineStr">
        <is>
          <t>P&amp;L</t>
        </is>
      </c>
      <c r="E54" t="inlineStr">
        <is>
          <t>N/A</t>
        </is>
      </c>
      <c r="F54" t="inlineStr">
        <is>
          <t>Non-cash</t>
        </is>
      </c>
    </row>
    <row r="55">
      <c r="A55" t="inlineStr">
        <is>
          <t>8000</t>
        </is>
      </c>
      <c r="B55" t="inlineStr">
        <is>
          <t>Corporate income tax</t>
        </is>
      </c>
      <c r="C55" t="inlineStr">
        <is>
          <t>Tax</t>
        </is>
      </c>
      <c r="D55" t="inlineStr">
        <is>
          <t>P&amp;L</t>
        </is>
      </c>
      <c r="E55" t="inlineStr">
        <is>
          <t>N/A</t>
        </is>
      </c>
      <c r="F55" t="inlineStr">
        <is>
          <t>30% of taxable profit</t>
        </is>
      </c>
    </row>
    <row r="56">
      <c r="A56" t="inlineStr">
        <is>
          <t>9000</t>
        </is>
      </c>
      <c r="B56" t="inlineStr">
        <is>
          <t>Bad debt provision</t>
        </is>
      </c>
      <c r="C56" t="inlineStr">
        <is>
          <t>Operating cost</t>
        </is>
      </c>
      <c r="D56" t="inlineStr">
        <is>
          <t>P&amp;L</t>
        </is>
      </c>
      <c r="E56" t="inlineStr">
        <is>
          <t>N/A</t>
        </is>
      </c>
      <c r="F56" t="inlineStr">
        <is>
          <t>Zero today. Will not stay zero.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6"/>
  <sheetViews>
    <sheetView workbookViewId="0">
      <pane ySplit="4" topLeftCell="A5" activePane="bottomLeft" state="frozen"/>
      <selection pane="bottomLeft" activeCell="A1" sqref="A1"/>
    </sheetView>
  </sheetViews>
  <sheetFormatPr baseColWidth="8" defaultRowHeight="15"/>
  <cols>
    <col width="12" customWidth="1" min="1" max="1"/>
    <col width="44" customWidth="1" min="2" max="2"/>
    <col width="20" customWidth="1" min="3" max="3"/>
    <col width="18" customWidth="1" min="4" max="4"/>
    <col width="16" customWidth="1" min="5" max="5"/>
    <col width="18" customWidth="1" min="6" max="6"/>
    <col width="44" customWidth="1" min="7" max="7"/>
  </cols>
  <sheetData>
    <row r="1">
      <c r="A1" s="1" t="inlineStr">
        <is>
          <t>COST BOOK — every cost we have, and what we do not yet know</t>
        </is>
      </c>
    </row>
    <row r="2">
      <c r="A2" s="3" t="inlineStr">
        <is>
          <t>What we know comes from the Year-1 model. What we do not know is marked NEEDS BREAKDOWN and carried to GAPS. Nothing here is invented.</t>
        </is>
      </c>
    </row>
    <row r="4">
      <c r="A4" s="11" t="inlineStr">
        <is>
          <t>Code</t>
        </is>
      </c>
      <c r="B4" s="11" t="inlineStr">
        <is>
          <t>Cost line</t>
        </is>
      </c>
      <c r="C4" s="11" t="inlineStr">
        <is>
          <t>Category</t>
        </is>
      </c>
      <c r="D4" s="11" t="inlineStr">
        <is>
          <t>FY1 amount (UGX)</t>
        </is>
      </c>
      <c r="E4" s="11" t="inlineStr">
        <is>
          <t>Basis</t>
        </is>
      </c>
      <c r="F4" s="11" t="inlineStr">
        <is>
          <t>Owner</t>
        </is>
      </c>
      <c r="G4" s="11" t="inlineStr">
        <is>
          <t>Status / what is missing</t>
        </is>
      </c>
    </row>
    <row r="5">
      <c r="A5" t="inlineStr">
        <is>
          <t>5000-5050</t>
        </is>
      </c>
      <c r="B5" t="inlineStr">
        <is>
          <t>Cost of sales — all materials and plant inputs</t>
        </is>
      </c>
      <c r="C5" t="inlineStr">
        <is>
          <t>Cost of sales</t>
        </is>
      </c>
      <c r="D5" s="14" t="n">
        <v>1091364454</v>
      </c>
      <c r="E5" s="3" t="inlineStr">
        <is>
          <t>Per unit: 3,884 in M1 falling to 2,132 by M12</t>
        </is>
      </c>
      <c r="F5" t="inlineStr">
        <is>
          <t>Sammy</t>
        </is>
      </c>
      <c r="G5" s="12" t="inlineStr">
        <is>
          <t>NEEDS BREAKDOWN — one blended number. Need the bill of materials per SKU: preforms, caps, labels, shrink, chemicals, membranes, plant power, water.</t>
        </is>
      </c>
    </row>
    <row r="6">
      <c r="A6" t="inlineStr">
        <is>
          <t>5100</t>
        </is>
      </c>
      <c r="B6" t="inlineStr">
        <is>
          <t>Jar cost expensed on issue</t>
        </is>
      </c>
      <c r="C6" t="inlineStr">
        <is>
          <t>Cost of sales</t>
        </is>
      </c>
      <c r="D6" s="15" t="n">
        <v>99000000</v>
      </c>
      <c r="E6" s="3" t="inlineStr">
        <is>
          <t>750 jars x 11,000 per month</t>
        </is>
      </c>
      <c r="F6" t="inlineStr">
        <is>
          <t>Sammy</t>
        </is>
      </c>
      <c r="G6" s="13" t="inlineStr">
        <is>
          <t>KNOWN and firm</t>
        </is>
      </c>
    </row>
    <row r="7">
      <c r="A7" t="inlineStr">
        <is>
          <t>5200</t>
        </is>
      </c>
      <c r="B7" t="inlineStr">
        <is>
          <t>Delivery and logistics</t>
        </is>
      </c>
      <c r="C7" t="inlineStr">
        <is>
          <t>Cost of sales</t>
        </is>
      </c>
      <c r="D7" s="14" t="n"/>
      <c r="E7" s="3" t="inlineStr">
        <is>
          <t>Unknown</t>
        </is>
      </c>
      <c r="F7" t="inlineStr">
        <is>
          <t>Sammy</t>
        </is>
      </c>
      <c r="G7" s="12" t="inlineStr">
        <is>
          <t>MISSING — is delivery inside the COGS blend or not budgeted at all? Own vehicles or hired? Fuel, driver, maintenance?</t>
        </is>
      </c>
    </row>
    <row r="8">
      <c r="A8" t="inlineStr">
        <is>
          <t>6000</t>
        </is>
      </c>
      <c r="B8" t="inlineStr">
        <is>
          <t>Salaries and wages</t>
        </is>
      </c>
      <c r="C8" t="inlineStr">
        <is>
          <t>Operating</t>
        </is>
      </c>
      <c r="D8" s="14" t="n">
        <v>118900000</v>
      </c>
      <c r="E8" s="3" t="inlineStr">
        <is>
          <t>2,575,000/mo, stepping to 13,575,000 at month 5</t>
        </is>
      </c>
      <c r="F8" t="inlineStr">
        <is>
          <t>Sammy</t>
        </is>
      </c>
      <c r="G8" s="12" t="inlineStr">
        <is>
          <t>NEEDS BREAKDOWN — how many heads at each step, which roles, which are production vs admin?</t>
        </is>
      </c>
    </row>
    <row r="9">
      <c r="A9" t="inlineStr">
        <is>
          <t>6010</t>
        </is>
      </c>
      <c r="B9" t="inlineStr">
        <is>
          <t>NSSF employer contribution</t>
        </is>
      </c>
      <c r="C9" t="inlineStr">
        <is>
          <t>Operating</t>
        </is>
      </c>
      <c r="D9" s="14" t="n"/>
      <c r="E9" s="3" t="inlineStr">
        <is>
          <t>5% recorded; statutory 10%</t>
        </is>
      </c>
      <c r="F9" t="inlineStr">
        <is>
          <t>Sammy</t>
        </is>
      </c>
      <c r="G9" s="12" t="inlineStr">
        <is>
          <t>UNDERSTATED — confirm the rate, then this line roughly doubles</t>
        </is>
      </c>
    </row>
    <row r="10">
      <c r="A10" t="inlineStr">
        <is>
          <t>6100-6210</t>
        </is>
      </c>
      <c r="B10" t="inlineStr">
        <is>
          <t>Fixed operating costs — all overheads</t>
        </is>
      </c>
      <c r="C10" t="inlineStr">
        <is>
          <t>Operating</t>
        </is>
      </c>
      <c r="D10" s="14" t="n">
        <v>97962504</v>
      </c>
      <c r="E10" s="3" t="inlineStr">
        <is>
          <t>8,163,542 per month, flat</t>
        </is>
      </c>
      <c r="F10" t="inlineStr">
        <is>
          <t>Sammy</t>
        </is>
      </c>
      <c r="G10" s="12" t="inlineStr">
        <is>
          <t>NEEDS BREAKDOWN — one blended number covering rent, power, security, internet, insurance, repairs, cleaning, licence, professional fees. We know only two pieces: licence 600,000/yr and insurance approx 150,000/mo.</t>
        </is>
      </c>
    </row>
    <row r="11">
      <c r="A11" t="inlineStr">
        <is>
          <t>6190</t>
        </is>
      </c>
      <c r="B11" t="inlineStr">
        <is>
          <t>Marketing and customer acquisition</t>
        </is>
      </c>
      <c r="C11" t="inlineStr">
        <is>
          <t>Operating</t>
        </is>
      </c>
      <c r="D11" s="14" t="n"/>
      <c r="E11" s="3" t="inlineStr">
        <is>
          <t>Not in the model</t>
        </is>
      </c>
      <c r="F11" t="inlineStr">
        <is>
          <t>Sammy</t>
        </is>
      </c>
      <c r="G11" s="12" t="inlineStr">
        <is>
          <t>MISSING ENTIRELY — the plan acquires 750 new jar customers every month with zero acquisition cost. That cannot be right.</t>
        </is>
      </c>
    </row>
    <row r="12">
      <c r="A12" t="inlineStr">
        <is>
          <t>6200</t>
        </is>
      </c>
      <c r="B12" t="inlineStr">
        <is>
          <t>Transaction and bank fees</t>
        </is>
      </c>
      <c r="C12" t="inlineStr">
        <is>
          <t>Operating</t>
        </is>
      </c>
      <c r="D12" s="15" t="n">
        <v>12742413</v>
      </c>
      <c r="E12" s="3" t="inlineStr">
        <is>
          <t>0.5% of gross billings</t>
        </is>
      </c>
      <c r="F12" t="inlineStr">
        <is>
          <t>Sammy</t>
        </is>
      </c>
      <c r="G12" s="13" t="inlineStr">
        <is>
          <t>KNOWN</t>
        </is>
      </c>
    </row>
    <row r="13">
      <c r="A13" t="inlineStr">
        <is>
          <t>7000</t>
        </is>
      </c>
      <c r="B13" t="inlineStr">
        <is>
          <t>Depreciation</t>
        </is>
      </c>
      <c r="C13" t="inlineStr">
        <is>
          <t>Operating</t>
        </is>
      </c>
      <c r="D13" s="15" t="n">
        <v>63000000</v>
      </c>
      <c r="E13" s="3" t="inlineStr">
        <is>
          <t>315,000,000 over 60 months</t>
        </is>
      </c>
      <c r="F13" t="inlineStr">
        <is>
          <t>Sammy</t>
        </is>
      </c>
      <c r="G13" s="13" t="inlineStr">
        <is>
          <t>KNOWN — but confirm the 5-year life and add membrane replacement</t>
        </is>
      </c>
    </row>
    <row r="14">
      <c r="A14" t="inlineStr">
        <is>
          <t>5030</t>
        </is>
      </c>
      <c r="B14" t="inlineStr">
        <is>
          <t>Membrane and filter replacement</t>
        </is>
      </c>
      <c r="C14" t="inlineStr">
        <is>
          <t>Cost of sales</t>
        </is>
      </c>
      <c r="D14" s="14" t="n"/>
      <c r="E14" s="3" t="inlineStr">
        <is>
          <t>Not in the model</t>
        </is>
      </c>
      <c r="F14" t="inlineStr">
        <is>
          <t>Sammy</t>
        </is>
      </c>
      <c r="G14" s="12" t="inlineStr">
        <is>
          <t>MISSING — zero maintenance capex and zero consumables replacement in a full year of running 2,000 jars/day</t>
        </is>
      </c>
    </row>
    <row r="15">
      <c r="A15" t="inlineStr">
        <is>
          <t>8000</t>
        </is>
      </c>
      <c r="B15" t="inlineStr">
        <is>
          <t>Corporate income tax</t>
        </is>
      </c>
      <c r="C15" t="inlineStr">
        <is>
          <t>Tax</t>
        </is>
      </c>
      <c r="D15" s="15" t="n">
        <v>97467102</v>
      </c>
      <c r="E15" s="3" t="inlineStr">
        <is>
          <t>30% of taxable profit, paid quarterly</t>
        </is>
      </c>
      <c r="F15" t="inlineStr">
        <is>
          <t>Sammy</t>
        </is>
      </c>
      <c r="G15" s="13" t="inlineStr">
        <is>
          <t>KNOWN</t>
        </is>
      </c>
    </row>
    <row r="16">
      <c r="A16" t="inlineStr">
        <is>
          <t>2200-2220</t>
        </is>
      </c>
      <c r="B16" t="inlineStr">
        <is>
          <t>VAT, excise and digital stamps</t>
        </is>
      </c>
      <c r="C16" t="inlineStr">
        <is>
          <t>Collected for URA</t>
        </is>
      </c>
      <c r="D16" s="15" t="n">
        <v>740623047</v>
      </c>
      <c r="E16" s="3" t="inlineStr">
        <is>
          <t>29.1% of gross billings</t>
        </is>
      </c>
      <c r="F16" t="inlineStr">
        <is>
          <t>Sammy</t>
        </is>
      </c>
      <c r="G16" s="13" t="inlineStr">
        <is>
          <t>KNOWN — and never ours</t>
        </is>
      </c>
    </row>
    <row r="17">
      <c r="A17" t="inlineStr">
        <is>
          <t>2320</t>
        </is>
      </c>
      <c r="B17" t="inlineStr">
        <is>
          <t>Local Service Tax</t>
        </is>
      </c>
      <c r="C17" t="inlineStr">
        <is>
          <t>Tax</t>
        </is>
      </c>
      <c r="D17" s="14" t="n"/>
      <c r="E17" s="3" t="inlineStr">
        <is>
          <t>KCCA, on employees</t>
        </is>
      </c>
      <c r="F17" t="inlineStr">
        <is>
          <t>Sammy</t>
        </is>
      </c>
      <c r="G17" s="12" t="inlineStr">
        <is>
          <t>MISSING ENTIRELY from the model</t>
        </is>
      </c>
    </row>
    <row r="18">
      <c r="A18" t="inlineStr">
        <is>
          <t>6170</t>
        </is>
      </c>
      <c r="B18" t="inlineStr">
        <is>
          <t>Trading licence</t>
        </is>
      </c>
      <c r="C18" t="inlineStr">
        <is>
          <t>Operating</t>
        </is>
      </c>
      <c r="D18" s="15" t="n">
        <v>600000</v>
      </c>
      <c r="E18" s="3" t="inlineStr">
        <is>
          <t>KCCA per year</t>
        </is>
      </c>
      <c r="F18" t="inlineStr">
        <is>
          <t>Sammy</t>
        </is>
      </c>
      <c r="G18" s="13" t="inlineStr">
        <is>
          <t>KNOWN</t>
        </is>
      </c>
    </row>
    <row r="19">
      <c r="A19" t="inlineStr">
        <is>
          <t>9000</t>
        </is>
      </c>
      <c r="B19" t="inlineStr">
        <is>
          <t>Bad debt provision</t>
        </is>
      </c>
      <c r="C19" t="inlineStr">
        <is>
          <t>Operating</t>
        </is>
      </c>
      <c r="D19" s="14" t="n"/>
      <c r="E19" s="3" t="inlineStr">
        <is>
          <t>Zero — every sale is cash</t>
        </is>
      </c>
      <c r="F19" t="inlineStr">
        <is>
          <t>Sammy</t>
        </is>
      </c>
      <c r="G19" s="12" t="inlineStr">
        <is>
          <t>NOT PROVIDED — fine while DSO is 0. The first institution on 30 days changes that.</t>
        </is>
      </c>
    </row>
    <row r="20">
      <c r="A20" t="inlineStr">
        <is>
          <t>2100</t>
        </is>
      </c>
      <c r="B20" t="inlineStr">
        <is>
          <t>Jar deposit REFUNDS</t>
        </is>
      </c>
      <c r="C20" t="inlineStr">
        <is>
          <t>Balance sheet</t>
        </is>
      </c>
      <c r="D20" s="14" t="n"/>
      <c r="E20" s="3" t="inlineStr">
        <is>
          <t>Zero returns assumed</t>
        </is>
      </c>
      <c r="F20" t="inlineStr">
        <is>
          <t>Sammy</t>
        </is>
      </c>
      <c r="G20" s="12" t="inlineStr">
        <is>
          <t>MISSING — no return rate, no refund reserve, no forfeiture policy</t>
        </is>
      </c>
    </row>
    <row r="22">
      <c r="B22" s="2" t="inlineStr">
        <is>
          <t>TOTAL COSTS WE CAN NAME (FY1)</t>
        </is>
      </c>
      <c r="D22" s="16">
        <f>SUM(D5:D20)</f>
        <v/>
      </c>
    </row>
    <row r="24">
      <c r="B24" s="3" t="inlineStr">
        <is>
          <t>Six lines above have no number at all. Four more are single blended figures hiding many lines.</t>
        </is>
      </c>
    </row>
    <row r="25">
      <c r="B25" s="3" t="inlineStr">
        <is>
          <t>Until those are broken out we do not actually know our costs — we know our cost TOTAL, which is not the same thing.</t>
        </is>
      </c>
    </row>
    <row r="26">
      <c r="B26" s="3" t="inlineStr">
        <is>
          <t>Renew Session 3: a gap on its own is not a finding. The reason behind it is. You cannot find a reason inside a blended number.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6" customWidth="1" min="1" max="1"/>
    <col width="18" customWidth="1" min="2" max="2"/>
    <col width="18" customWidth="1" min="3" max="3"/>
    <col width="18" customWidth="1" min="4" max="4"/>
    <col width="20" customWidth="1" min="5" max="5"/>
    <col width="40" customWidth="1" min="6" max="6"/>
  </cols>
  <sheetData>
    <row r="1">
      <c r="A1" s="1" t="inlineStr">
        <is>
          <t>PRICE BOOK — two books, decided by one question: who moves the water?</t>
        </is>
      </c>
    </row>
    <row r="3">
      <c r="A3" s="11" t="inlineStr">
        <is>
          <t>Product</t>
        </is>
      </c>
      <c r="B3" s="11" t="inlineStr">
        <is>
          <t>B2B floor</t>
        </is>
      </c>
      <c r="C3" s="11" t="inlineStr">
        <is>
          <t>B2B list</t>
        </is>
      </c>
      <c r="D3" s="11" t="inlineStr">
        <is>
          <t>B2C</t>
        </is>
      </c>
      <c r="E3" s="11" t="inlineStr">
        <is>
          <t>Status</t>
        </is>
      </c>
      <c r="F3" s="11" t="inlineStr">
        <is>
          <t>Notes</t>
        </is>
      </c>
    </row>
    <row r="4">
      <c r="A4" t="inlineStr">
        <is>
          <t>20L Refill</t>
        </is>
      </c>
      <c r="B4" s="15" t="n">
        <v>3300</v>
      </c>
      <c r="C4" s="15" t="n">
        <v>5000</v>
      </c>
      <c r="D4" s="15" t="n">
        <v>6000</v>
      </c>
      <c r="E4" s="2" t="inlineStr">
        <is>
          <t>ANCHORS SET</t>
        </is>
      </c>
      <c r="F4" s="3" t="inlineStr">
        <is>
          <t>Sammy, 8 Sep 2026</t>
        </is>
      </c>
    </row>
    <row r="5">
      <c r="A5" t="inlineStr">
        <is>
          <t>20L Single-Use</t>
        </is>
      </c>
      <c r="B5" s="15" t="n">
        <v>9000</v>
      </c>
      <c r="C5" s="15" t="n">
        <v>10050</v>
      </c>
      <c r="D5" s="15" t="n">
        <v>10350</v>
      </c>
      <c r="E5" s="2" t="inlineStr">
        <is>
          <t>ANCHORS SET</t>
        </is>
      </c>
      <c r="F5" s="3" t="inlineStr"/>
    </row>
    <row r="6">
      <c r="A6" t="inlineStr">
        <is>
          <t>5L Single-Use</t>
        </is>
      </c>
      <c r="B6" s="15" t="n">
        <v>3450</v>
      </c>
      <c r="C6" s="15" t="n">
        <v>4500</v>
      </c>
      <c r="D6" s="15" t="n">
        <v>4800</v>
      </c>
      <c r="E6" s="2" t="inlineStr">
        <is>
          <t>ANCHORS SET</t>
        </is>
      </c>
      <c r="F6" s="3" t="inlineStr"/>
    </row>
    <row r="7">
      <c r="A7" t="inlineStr">
        <is>
          <t>20L Reusable Jar (DEPOSIT)</t>
        </is>
      </c>
      <c r="B7" s="15" t="n">
        <v>16800</v>
      </c>
      <c r="C7" s="15" t="n">
        <v>17850</v>
      </c>
      <c r="D7" s="15" t="n">
        <v>18150</v>
      </c>
      <c r="E7" s="2" t="inlineStr">
        <is>
          <t>NEVER DISCOUNTED</t>
        </is>
      </c>
      <c r="F7" s="3" t="inlineStr">
        <is>
          <t>A liability, not revenue</t>
        </is>
      </c>
    </row>
    <row r="9">
      <c r="A9" s="2" t="inlineStr">
        <is>
          <t>B2B VOLUME LADDER — tier set from LAST MONTH'S ACHIEVED volume, never a promise</t>
        </is>
      </c>
    </row>
    <row r="10">
      <c r="A10" s="11" t="inlineStr">
        <is>
          <t>Achieved last month</t>
        </is>
      </c>
      <c r="B10" s="11" t="inlineStr">
        <is>
          <t>20L Refill</t>
        </is>
      </c>
      <c r="C10" s="11" t="inlineStr">
        <is>
          <t>20L Single-Use</t>
        </is>
      </c>
      <c r="D10" s="11" t="inlineStr">
        <is>
          <t>5L</t>
        </is>
      </c>
      <c r="E10" s="11" t="inlineStr">
        <is>
          <t>Status</t>
        </is>
      </c>
      <c r="F10" s="11" t="inlineStr"/>
    </row>
    <row r="11">
      <c r="A11" t="inlineStr">
        <is>
          <t>List (base)</t>
        </is>
      </c>
      <c r="B11" s="15" t="n">
        <v>5000</v>
      </c>
      <c r="C11" s="15" t="n">
        <v>10050</v>
      </c>
      <c r="D11" s="15" t="n">
        <v>4500</v>
      </c>
      <c r="E11" s="2" t="inlineStr">
        <is>
          <t>APPROVED — Sammy 8 Sep</t>
        </is>
      </c>
    </row>
    <row r="12">
      <c r="A12" t="inlineStr">
        <is>
          <t>500+</t>
        </is>
      </c>
      <c r="B12" s="15" t="n">
        <v>4400</v>
      </c>
      <c r="C12" s="15" t="n">
        <v>9700</v>
      </c>
      <c r="D12" s="15" t="n">
        <v>4150</v>
      </c>
      <c r="E12" s="17" t="inlineStr">
        <is>
          <t>NOT APPROVED — GAP-19</t>
        </is>
      </c>
    </row>
    <row r="13">
      <c r="A13" t="inlineStr">
        <is>
          <t>1,500+</t>
        </is>
      </c>
      <c r="B13" s="15" t="n">
        <v>3800</v>
      </c>
      <c r="C13" s="15" t="n">
        <v>9350</v>
      </c>
      <c r="D13" s="15" t="n">
        <v>3800</v>
      </c>
      <c r="E13" s="17" t="inlineStr">
        <is>
          <t>NOT APPROVED — GAP-19</t>
        </is>
      </c>
    </row>
    <row r="14">
      <c r="A14" t="inlineStr">
        <is>
          <t>3,000+ (FLOOR)</t>
        </is>
      </c>
      <c r="B14" s="15" t="n">
        <v>3300</v>
      </c>
      <c r="C14" s="15" t="n">
        <v>9000</v>
      </c>
      <c r="D14" s="15" t="n">
        <v>3450</v>
      </c>
      <c r="E14" s="2" t="inlineStr">
        <is>
          <t>APPROVED — never below</t>
        </is>
      </c>
    </row>
    <row r="16">
      <c r="A16" s="3" t="inlineStr">
        <is>
          <t>Half this ladder is still unapproved, so part of our revenue mix is assumption. And 'the floor is earned' is a sentence, not a control — nothing stops someone granting it in the moment.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04"/>
  <sheetViews>
    <sheetView workbookViewId="0">
      <pane ySplit="4" topLeftCell="A5" activePane="bottomLeft" state="frozen"/>
      <selection pane="bottomLeft" activeCell="A1" sqref="A1"/>
    </sheetView>
  </sheetViews>
  <sheetFormatPr baseColWidth="8" defaultRowHeight="15"/>
  <cols>
    <col width="12" customWidth="1" min="1" max="1"/>
    <col width="12" customWidth="1" min="2" max="2"/>
    <col width="14" customWidth="1" min="3" max="3"/>
    <col width="34" customWidth="1" min="4" max="4"/>
    <col width="40" customWidth="1" min="5" max="5"/>
    <col width="24" customWidth="1" min="6" max="6"/>
    <col width="12" customWidth="1" min="7" max="7"/>
    <col width="16" customWidth="1" min="8" max="8"/>
    <col width="16" customWidth="1" min="9" max="9"/>
    <col width="16" customWidth="1" min="10" max="10"/>
    <col width="10" customWidth="1" min="11" max="11"/>
    <col width="18" customWidth="1" min="12" max="12"/>
    <col width="14" customWidth="1" min="13" max="13"/>
  </cols>
  <sheetData>
    <row r="1">
      <c r="A1" s="1" t="inlineStr">
        <is>
          <t>JOURNAL — every transaction, double entry. This is the whole data-entry job.</t>
        </is>
      </c>
    </row>
    <row r="2">
      <c r="A2" s="3" t="inlineStr">
        <is>
          <t>One row per side. Debits equal credits. Pick the account code from CHART OF ACCOUNTS — never type a new name here.</t>
        </is>
      </c>
    </row>
    <row r="4">
      <c r="A4" s="11" t="inlineStr">
        <is>
          <t>Date</t>
        </is>
      </c>
      <c r="B4" s="11" t="inlineStr">
        <is>
          <t>Ref</t>
        </is>
      </c>
      <c r="C4" s="11" t="inlineStr">
        <is>
          <t>Account code</t>
        </is>
      </c>
      <c r="D4" s="11" t="inlineStr">
        <is>
          <t>Account name</t>
        </is>
      </c>
      <c r="E4" s="11" t="inlineStr">
        <is>
          <t>Description</t>
        </is>
      </c>
      <c r="F4" s="11" t="inlineStr">
        <is>
          <t>Counterparty</t>
        </is>
      </c>
      <c r="G4" s="11" t="inlineStr">
        <is>
          <t>Channel</t>
        </is>
      </c>
      <c r="H4" s="11" t="inlineStr">
        <is>
          <t>Product</t>
        </is>
      </c>
      <c r="I4" s="11" t="inlineStr">
        <is>
          <t>Debit</t>
        </is>
      </c>
      <c r="J4" s="11" t="inlineStr">
        <is>
          <t>Credit</t>
        </is>
      </c>
      <c r="K4" s="11" t="inlineStr">
        <is>
          <t>VAT code</t>
        </is>
      </c>
      <c r="L4" s="11" t="inlineStr">
        <is>
          <t>Source doc</t>
        </is>
      </c>
      <c r="M4" s="11" t="inlineStr">
        <is>
          <t>Entered by</t>
        </is>
      </c>
    </row>
    <row r="5">
      <c r="A5" s="7" t="n"/>
      <c r="B5" s="6" t="n"/>
      <c r="C5" s="6" t="n"/>
      <c r="D5">
        <f>IFERROR(VLOOKUP($C5,'CHART OF ACCOUNTS'!$A:$B,2,FALSE),"")</f>
        <v/>
      </c>
      <c r="E5" s="6" t="n"/>
      <c r="F5" s="6" t="n"/>
      <c r="G5" s="6" t="n"/>
      <c r="H5" s="6" t="n"/>
      <c r="I5" s="10" t="n"/>
      <c r="J5" s="10" t="n"/>
      <c r="K5" s="6" t="n"/>
      <c r="L5" s="6" t="n"/>
      <c r="M5" s="6" t="n"/>
    </row>
    <row r="6">
      <c r="A6" s="7" t="n"/>
      <c r="B6" s="6" t="n"/>
      <c r="C6" s="6" t="n"/>
      <c r="D6">
        <f>IFERROR(VLOOKUP($C6,'CHART OF ACCOUNTS'!$A:$B,2,FALSE),"")</f>
        <v/>
      </c>
      <c r="E6" s="6" t="n"/>
      <c r="F6" s="6" t="n"/>
      <c r="G6" s="6" t="n"/>
      <c r="H6" s="6" t="n"/>
      <c r="I6" s="10" t="n"/>
      <c r="J6" s="10" t="n"/>
      <c r="K6" s="6" t="n"/>
      <c r="L6" s="6" t="n"/>
      <c r="M6" s="6" t="n"/>
    </row>
    <row r="7">
      <c r="A7" s="7" t="n"/>
      <c r="B7" s="6" t="n"/>
      <c r="C7" s="6" t="n"/>
      <c r="D7">
        <f>IFERROR(VLOOKUP($C7,'CHART OF ACCOUNTS'!$A:$B,2,FALSE),"")</f>
        <v/>
      </c>
      <c r="E7" s="6" t="n"/>
      <c r="F7" s="6" t="n"/>
      <c r="G7" s="6" t="n"/>
      <c r="H7" s="6" t="n"/>
      <c r="I7" s="10" t="n"/>
      <c r="J7" s="10" t="n"/>
      <c r="K7" s="6" t="n"/>
      <c r="L7" s="6" t="n"/>
      <c r="M7" s="6" t="n"/>
    </row>
    <row r="8">
      <c r="A8" s="7" t="n"/>
      <c r="B8" s="6" t="n"/>
      <c r="C8" s="6" t="n"/>
      <c r="D8">
        <f>IFERROR(VLOOKUP($C8,'CHART OF ACCOUNTS'!$A:$B,2,FALSE),"")</f>
        <v/>
      </c>
      <c r="E8" s="6" t="n"/>
      <c r="F8" s="6" t="n"/>
      <c r="G8" s="6" t="n"/>
      <c r="H8" s="6" t="n"/>
      <c r="I8" s="10" t="n"/>
      <c r="J8" s="10" t="n"/>
      <c r="K8" s="6" t="n"/>
      <c r="L8" s="6" t="n"/>
      <c r="M8" s="6" t="n"/>
    </row>
    <row r="9">
      <c r="A9" s="7" t="n"/>
      <c r="B9" s="6" t="n"/>
      <c r="C9" s="6" t="n"/>
      <c r="D9">
        <f>IFERROR(VLOOKUP($C9,'CHART OF ACCOUNTS'!$A:$B,2,FALSE),"")</f>
        <v/>
      </c>
      <c r="E9" s="6" t="n"/>
      <c r="F9" s="6" t="n"/>
      <c r="G9" s="6" t="n"/>
      <c r="H9" s="6" t="n"/>
      <c r="I9" s="10" t="n"/>
      <c r="J9" s="10" t="n"/>
      <c r="K9" s="6" t="n"/>
      <c r="L9" s="6" t="n"/>
      <c r="M9" s="6" t="n"/>
    </row>
    <row r="10">
      <c r="A10" s="7" t="n"/>
      <c r="B10" s="6" t="n"/>
      <c r="C10" s="6" t="n"/>
      <c r="D10">
        <f>IFERROR(VLOOKUP($C10,'CHART OF ACCOUNTS'!$A:$B,2,FALSE),"")</f>
        <v/>
      </c>
      <c r="E10" s="6" t="n"/>
      <c r="F10" s="6" t="n"/>
      <c r="G10" s="6" t="n"/>
      <c r="H10" s="6" t="n"/>
      <c r="I10" s="10" t="n"/>
      <c r="J10" s="10" t="n"/>
      <c r="K10" s="6" t="n"/>
      <c r="L10" s="6" t="n"/>
      <c r="M10" s="6" t="n"/>
    </row>
    <row r="11">
      <c r="A11" s="7" t="n"/>
      <c r="B11" s="6" t="n"/>
      <c r="C11" s="6" t="n"/>
      <c r="D11">
        <f>IFERROR(VLOOKUP($C11,'CHART OF ACCOUNTS'!$A:$B,2,FALSE),"")</f>
        <v/>
      </c>
      <c r="E11" s="6" t="n"/>
      <c r="F11" s="6" t="n"/>
      <c r="G11" s="6" t="n"/>
      <c r="H11" s="6" t="n"/>
      <c r="I11" s="10" t="n"/>
      <c r="J11" s="10" t="n"/>
      <c r="K11" s="6" t="n"/>
      <c r="L11" s="6" t="n"/>
      <c r="M11" s="6" t="n"/>
    </row>
    <row r="12">
      <c r="A12" s="7" t="n"/>
      <c r="B12" s="6" t="n"/>
      <c r="C12" s="6" t="n"/>
      <c r="D12">
        <f>IFERROR(VLOOKUP($C12,'CHART OF ACCOUNTS'!$A:$B,2,FALSE),"")</f>
        <v/>
      </c>
      <c r="E12" s="6" t="n"/>
      <c r="F12" s="6" t="n"/>
      <c r="G12" s="6" t="n"/>
      <c r="H12" s="6" t="n"/>
      <c r="I12" s="10" t="n"/>
      <c r="J12" s="10" t="n"/>
      <c r="K12" s="6" t="n"/>
      <c r="L12" s="6" t="n"/>
      <c r="M12" s="6" t="n"/>
    </row>
    <row r="13">
      <c r="A13" s="7" t="n"/>
      <c r="B13" s="6" t="n"/>
      <c r="C13" s="6" t="n"/>
      <c r="D13">
        <f>IFERROR(VLOOKUP($C13,'CHART OF ACCOUNTS'!$A:$B,2,FALSE),"")</f>
        <v/>
      </c>
      <c r="E13" s="6" t="n"/>
      <c r="F13" s="6" t="n"/>
      <c r="G13" s="6" t="n"/>
      <c r="H13" s="6" t="n"/>
      <c r="I13" s="10" t="n"/>
      <c r="J13" s="10" t="n"/>
      <c r="K13" s="6" t="n"/>
      <c r="L13" s="6" t="n"/>
      <c r="M13" s="6" t="n"/>
    </row>
    <row r="14">
      <c r="A14" s="7" t="n"/>
      <c r="B14" s="6" t="n"/>
      <c r="C14" s="6" t="n"/>
      <c r="D14">
        <f>IFERROR(VLOOKUP($C14,'CHART OF ACCOUNTS'!$A:$B,2,FALSE),"")</f>
        <v/>
      </c>
      <c r="E14" s="6" t="n"/>
      <c r="F14" s="6" t="n"/>
      <c r="G14" s="6" t="n"/>
      <c r="H14" s="6" t="n"/>
      <c r="I14" s="10" t="n"/>
      <c r="J14" s="10" t="n"/>
      <c r="K14" s="6" t="n"/>
      <c r="L14" s="6" t="n"/>
      <c r="M14" s="6" t="n"/>
    </row>
    <row r="15">
      <c r="A15" s="7" t="n"/>
      <c r="B15" s="6" t="n"/>
      <c r="C15" s="6" t="n"/>
      <c r="D15">
        <f>IFERROR(VLOOKUP($C15,'CHART OF ACCOUNTS'!$A:$B,2,FALSE),"")</f>
        <v/>
      </c>
      <c r="E15" s="6" t="n"/>
      <c r="F15" s="6" t="n"/>
      <c r="G15" s="6" t="n"/>
      <c r="H15" s="6" t="n"/>
      <c r="I15" s="10" t="n"/>
      <c r="J15" s="10" t="n"/>
      <c r="K15" s="6" t="n"/>
      <c r="L15" s="6" t="n"/>
      <c r="M15" s="6" t="n"/>
    </row>
    <row r="16">
      <c r="A16" s="7" t="n"/>
      <c r="B16" s="6" t="n"/>
      <c r="C16" s="6" t="n"/>
      <c r="D16">
        <f>IFERROR(VLOOKUP($C16,'CHART OF ACCOUNTS'!$A:$B,2,FALSE),"")</f>
        <v/>
      </c>
      <c r="E16" s="6" t="n"/>
      <c r="F16" s="6" t="n"/>
      <c r="G16" s="6" t="n"/>
      <c r="H16" s="6" t="n"/>
      <c r="I16" s="10" t="n"/>
      <c r="J16" s="10" t="n"/>
      <c r="K16" s="6" t="n"/>
      <c r="L16" s="6" t="n"/>
      <c r="M16" s="6" t="n"/>
    </row>
    <row r="17">
      <c r="A17" s="7" t="n"/>
      <c r="B17" s="6" t="n"/>
      <c r="C17" s="6" t="n"/>
      <c r="D17">
        <f>IFERROR(VLOOKUP($C17,'CHART OF ACCOUNTS'!$A:$B,2,FALSE),"")</f>
        <v/>
      </c>
      <c r="E17" s="6" t="n"/>
      <c r="F17" s="6" t="n"/>
      <c r="G17" s="6" t="n"/>
      <c r="H17" s="6" t="n"/>
      <c r="I17" s="10" t="n"/>
      <c r="J17" s="10" t="n"/>
      <c r="K17" s="6" t="n"/>
      <c r="L17" s="6" t="n"/>
      <c r="M17" s="6" t="n"/>
    </row>
    <row r="18">
      <c r="A18" s="7" t="n"/>
      <c r="B18" s="6" t="n"/>
      <c r="C18" s="6" t="n"/>
      <c r="D18">
        <f>IFERROR(VLOOKUP($C18,'CHART OF ACCOUNTS'!$A:$B,2,FALSE),"")</f>
        <v/>
      </c>
      <c r="E18" s="6" t="n"/>
      <c r="F18" s="6" t="n"/>
      <c r="G18" s="6" t="n"/>
      <c r="H18" s="6" t="n"/>
      <c r="I18" s="10" t="n"/>
      <c r="J18" s="10" t="n"/>
      <c r="K18" s="6" t="n"/>
      <c r="L18" s="6" t="n"/>
      <c r="M18" s="6" t="n"/>
    </row>
    <row r="19">
      <c r="A19" s="7" t="n"/>
      <c r="B19" s="6" t="n"/>
      <c r="C19" s="6" t="n"/>
      <c r="D19">
        <f>IFERROR(VLOOKUP($C19,'CHART OF ACCOUNTS'!$A:$B,2,FALSE),"")</f>
        <v/>
      </c>
      <c r="E19" s="6" t="n"/>
      <c r="F19" s="6" t="n"/>
      <c r="G19" s="6" t="n"/>
      <c r="H19" s="6" t="n"/>
      <c r="I19" s="10" t="n"/>
      <c r="J19" s="10" t="n"/>
      <c r="K19" s="6" t="n"/>
      <c r="L19" s="6" t="n"/>
      <c r="M19" s="6" t="n"/>
    </row>
    <row r="20">
      <c r="A20" s="7" t="n"/>
      <c r="B20" s="6" t="n"/>
      <c r="C20" s="6" t="n"/>
      <c r="D20">
        <f>IFERROR(VLOOKUP($C20,'CHART OF ACCOUNTS'!$A:$B,2,FALSE),"")</f>
        <v/>
      </c>
      <c r="E20" s="6" t="n"/>
      <c r="F20" s="6" t="n"/>
      <c r="G20" s="6" t="n"/>
      <c r="H20" s="6" t="n"/>
      <c r="I20" s="10" t="n"/>
      <c r="J20" s="10" t="n"/>
      <c r="K20" s="6" t="n"/>
      <c r="L20" s="6" t="n"/>
      <c r="M20" s="6" t="n"/>
    </row>
    <row r="21">
      <c r="A21" s="7" t="n"/>
      <c r="B21" s="6" t="n"/>
      <c r="C21" s="6" t="n"/>
      <c r="D21">
        <f>IFERROR(VLOOKUP($C21,'CHART OF ACCOUNTS'!$A:$B,2,FALSE),"")</f>
        <v/>
      </c>
      <c r="E21" s="6" t="n"/>
      <c r="F21" s="6" t="n"/>
      <c r="G21" s="6" t="n"/>
      <c r="H21" s="6" t="n"/>
      <c r="I21" s="10" t="n"/>
      <c r="J21" s="10" t="n"/>
      <c r="K21" s="6" t="n"/>
      <c r="L21" s="6" t="n"/>
      <c r="M21" s="6" t="n"/>
    </row>
    <row r="22">
      <c r="A22" s="7" t="n"/>
      <c r="B22" s="6" t="n"/>
      <c r="C22" s="6" t="n"/>
      <c r="D22">
        <f>IFERROR(VLOOKUP($C22,'CHART OF ACCOUNTS'!$A:$B,2,FALSE),"")</f>
        <v/>
      </c>
      <c r="E22" s="6" t="n"/>
      <c r="F22" s="6" t="n"/>
      <c r="G22" s="6" t="n"/>
      <c r="H22" s="6" t="n"/>
      <c r="I22" s="10" t="n"/>
      <c r="J22" s="10" t="n"/>
      <c r="K22" s="6" t="n"/>
      <c r="L22" s="6" t="n"/>
      <c r="M22" s="6" t="n"/>
    </row>
    <row r="23">
      <c r="A23" s="7" t="n"/>
      <c r="B23" s="6" t="n"/>
      <c r="C23" s="6" t="n"/>
      <c r="D23">
        <f>IFERROR(VLOOKUP($C23,'CHART OF ACCOUNTS'!$A:$B,2,FALSE),"")</f>
        <v/>
      </c>
      <c r="E23" s="6" t="n"/>
      <c r="F23" s="6" t="n"/>
      <c r="G23" s="6" t="n"/>
      <c r="H23" s="6" t="n"/>
      <c r="I23" s="10" t="n"/>
      <c r="J23" s="10" t="n"/>
      <c r="K23" s="6" t="n"/>
      <c r="L23" s="6" t="n"/>
      <c r="M23" s="6" t="n"/>
    </row>
    <row r="24">
      <c r="A24" s="7" t="n"/>
      <c r="B24" s="6" t="n"/>
      <c r="C24" s="6" t="n"/>
      <c r="D24">
        <f>IFERROR(VLOOKUP($C24,'CHART OF ACCOUNTS'!$A:$B,2,FALSE),"")</f>
        <v/>
      </c>
      <c r="E24" s="6" t="n"/>
      <c r="F24" s="6" t="n"/>
      <c r="G24" s="6" t="n"/>
      <c r="H24" s="6" t="n"/>
      <c r="I24" s="10" t="n"/>
      <c r="J24" s="10" t="n"/>
      <c r="K24" s="6" t="n"/>
      <c r="L24" s="6" t="n"/>
      <c r="M24" s="6" t="n"/>
    </row>
    <row r="25">
      <c r="A25" s="7" t="n"/>
      <c r="B25" s="6" t="n"/>
      <c r="C25" s="6" t="n"/>
      <c r="D25">
        <f>IFERROR(VLOOKUP($C25,'CHART OF ACCOUNTS'!$A:$B,2,FALSE),"")</f>
        <v/>
      </c>
      <c r="E25" s="6" t="n"/>
      <c r="F25" s="6" t="n"/>
      <c r="G25" s="6" t="n"/>
      <c r="H25" s="6" t="n"/>
      <c r="I25" s="10" t="n"/>
      <c r="J25" s="10" t="n"/>
      <c r="K25" s="6" t="n"/>
      <c r="L25" s="6" t="n"/>
      <c r="M25" s="6" t="n"/>
    </row>
    <row r="26">
      <c r="A26" s="7" t="n"/>
      <c r="B26" s="6" t="n"/>
      <c r="C26" s="6" t="n"/>
      <c r="D26">
        <f>IFERROR(VLOOKUP($C26,'CHART OF ACCOUNTS'!$A:$B,2,FALSE),"")</f>
        <v/>
      </c>
      <c r="E26" s="6" t="n"/>
      <c r="F26" s="6" t="n"/>
      <c r="G26" s="6" t="n"/>
      <c r="H26" s="6" t="n"/>
      <c r="I26" s="10" t="n"/>
      <c r="J26" s="10" t="n"/>
      <c r="K26" s="6" t="n"/>
      <c r="L26" s="6" t="n"/>
      <c r="M26" s="6" t="n"/>
    </row>
    <row r="27">
      <c r="A27" s="7" t="n"/>
      <c r="B27" s="6" t="n"/>
      <c r="C27" s="6" t="n"/>
      <c r="D27">
        <f>IFERROR(VLOOKUP($C27,'CHART OF ACCOUNTS'!$A:$B,2,FALSE),"")</f>
        <v/>
      </c>
      <c r="E27" s="6" t="n"/>
      <c r="F27" s="6" t="n"/>
      <c r="G27" s="6" t="n"/>
      <c r="H27" s="6" t="n"/>
      <c r="I27" s="10" t="n"/>
      <c r="J27" s="10" t="n"/>
      <c r="K27" s="6" t="n"/>
      <c r="L27" s="6" t="n"/>
      <c r="M27" s="6" t="n"/>
    </row>
    <row r="28">
      <c r="A28" s="7" t="n"/>
      <c r="B28" s="6" t="n"/>
      <c r="C28" s="6" t="n"/>
      <c r="D28">
        <f>IFERROR(VLOOKUP($C28,'CHART OF ACCOUNTS'!$A:$B,2,FALSE),"")</f>
        <v/>
      </c>
      <c r="E28" s="6" t="n"/>
      <c r="F28" s="6" t="n"/>
      <c r="G28" s="6" t="n"/>
      <c r="H28" s="6" t="n"/>
      <c r="I28" s="10" t="n"/>
      <c r="J28" s="10" t="n"/>
      <c r="K28" s="6" t="n"/>
      <c r="L28" s="6" t="n"/>
      <c r="M28" s="6" t="n"/>
    </row>
    <row r="29">
      <c r="A29" s="7" t="n"/>
      <c r="B29" s="6" t="n"/>
      <c r="C29" s="6" t="n"/>
      <c r="D29">
        <f>IFERROR(VLOOKUP($C29,'CHART OF ACCOUNTS'!$A:$B,2,FALSE),"")</f>
        <v/>
      </c>
      <c r="E29" s="6" t="n"/>
      <c r="F29" s="6" t="n"/>
      <c r="G29" s="6" t="n"/>
      <c r="H29" s="6" t="n"/>
      <c r="I29" s="10" t="n"/>
      <c r="J29" s="10" t="n"/>
      <c r="K29" s="6" t="n"/>
      <c r="L29" s="6" t="n"/>
      <c r="M29" s="6" t="n"/>
    </row>
    <row r="30">
      <c r="A30" s="7" t="n"/>
      <c r="B30" s="6" t="n"/>
      <c r="C30" s="6" t="n"/>
      <c r="D30">
        <f>IFERROR(VLOOKUP($C30,'CHART OF ACCOUNTS'!$A:$B,2,FALSE),"")</f>
        <v/>
      </c>
      <c r="E30" s="6" t="n"/>
      <c r="F30" s="6" t="n"/>
      <c r="G30" s="6" t="n"/>
      <c r="H30" s="6" t="n"/>
      <c r="I30" s="10" t="n"/>
      <c r="J30" s="10" t="n"/>
      <c r="K30" s="6" t="n"/>
      <c r="L30" s="6" t="n"/>
      <c r="M30" s="6" t="n"/>
    </row>
    <row r="31">
      <c r="A31" s="7" t="n"/>
      <c r="B31" s="6" t="n"/>
      <c r="C31" s="6" t="n"/>
      <c r="D31">
        <f>IFERROR(VLOOKUP($C31,'CHART OF ACCOUNTS'!$A:$B,2,FALSE),"")</f>
        <v/>
      </c>
      <c r="E31" s="6" t="n"/>
      <c r="F31" s="6" t="n"/>
      <c r="G31" s="6" t="n"/>
      <c r="H31" s="6" t="n"/>
      <c r="I31" s="10" t="n"/>
      <c r="J31" s="10" t="n"/>
      <c r="K31" s="6" t="n"/>
      <c r="L31" s="6" t="n"/>
      <c r="M31" s="6" t="n"/>
    </row>
    <row r="32">
      <c r="A32" s="7" t="n"/>
      <c r="B32" s="6" t="n"/>
      <c r="C32" s="6" t="n"/>
      <c r="D32">
        <f>IFERROR(VLOOKUP($C32,'CHART OF ACCOUNTS'!$A:$B,2,FALSE),"")</f>
        <v/>
      </c>
      <c r="E32" s="6" t="n"/>
      <c r="F32" s="6" t="n"/>
      <c r="G32" s="6" t="n"/>
      <c r="H32" s="6" t="n"/>
      <c r="I32" s="10" t="n"/>
      <c r="J32" s="10" t="n"/>
      <c r="K32" s="6" t="n"/>
      <c r="L32" s="6" t="n"/>
      <c r="M32" s="6" t="n"/>
    </row>
    <row r="33">
      <c r="A33" s="7" t="n"/>
      <c r="B33" s="6" t="n"/>
      <c r="C33" s="6" t="n"/>
      <c r="D33">
        <f>IFERROR(VLOOKUP($C33,'CHART OF ACCOUNTS'!$A:$B,2,FALSE),"")</f>
        <v/>
      </c>
      <c r="E33" s="6" t="n"/>
      <c r="F33" s="6" t="n"/>
      <c r="G33" s="6" t="n"/>
      <c r="H33" s="6" t="n"/>
      <c r="I33" s="10" t="n"/>
      <c r="J33" s="10" t="n"/>
      <c r="K33" s="6" t="n"/>
      <c r="L33" s="6" t="n"/>
      <c r="M33" s="6" t="n"/>
    </row>
    <row r="34">
      <c r="A34" s="7" t="n"/>
      <c r="B34" s="6" t="n"/>
      <c r="C34" s="6" t="n"/>
      <c r="D34">
        <f>IFERROR(VLOOKUP($C34,'CHART OF ACCOUNTS'!$A:$B,2,FALSE),"")</f>
        <v/>
      </c>
      <c r="E34" s="6" t="n"/>
      <c r="F34" s="6" t="n"/>
      <c r="G34" s="6" t="n"/>
      <c r="H34" s="6" t="n"/>
      <c r="I34" s="10" t="n"/>
      <c r="J34" s="10" t="n"/>
      <c r="K34" s="6" t="n"/>
      <c r="L34" s="6" t="n"/>
      <c r="M34" s="6" t="n"/>
    </row>
    <row r="35">
      <c r="A35" s="7" t="n"/>
      <c r="B35" s="6" t="n"/>
      <c r="C35" s="6" t="n"/>
      <c r="D35">
        <f>IFERROR(VLOOKUP($C35,'CHART OF ACCOUNTS'!$A:$B,2,FALSE),"")</f>
        <v/>
      </c>
      <c r="E35" s="6" t="n"/>
      <c r="F35" s="6" t="n"/>
      <c r="G35" s="6" t="n"/>
      <c r="H35" s="6" t="n"/>
      <c r="I35" s="10" t="n"/>
      <c r="J35" s="10" t="n"/>
      <c r="K35" s="6" t="n"/>
      <c r="L35" s="6" t="n"/>
      <c r="M35" s="6" t="n"/>
    </row>
    <row r="36">
      <c r="A36" s="7" t="n"/>
      <c r="B36" s="6" t="n"/>
      <c r="C36" s="6" t="n"/>
      <c r="D36">
        <f>IFERROR(VLOOKUP($C36,'CHART OF ACCOUNTS'!$A:$B,2,FALSE),"")</f>
        <v/>
      </c>
      <c r="E36" s="6" t="n"/>
      <c r="F36" s="6" t="n"/>
      <c r="G36" s="6" t="n"/>
      <c r="H36" s="6" t="n"/>
      <c r="I36" s="10" t="n"/>
      <c r="J36" s="10" t="n"/>
      <c r="K36" s="6" t="n"/>
      <c r="L36" s="6" t="n"/>
      <c r="M36" s="6" t="n"/>
    </row>
    <row r="37">
      <c r="A37" s="7" t="n"/>
      <c r="B37" s="6" t="n"/>
      <c r="C37" s="6" t="n"/>
      <c r="D37">
        <f>IFERROR(VLOOKUP($C37,'CHART OF ACCOUNTS'!$A:$B,2,FALSE),"")</f>
        <v/>
      </c>
      <c r="E37" s="6" t="n"/>
      <c r="F37" s="6" t="n"/>
      <c r="G37" s="6" t="n"/>
      <c r="H37" s="6" t="n"/>
      <c r="I37" s="10" t="n"/>
      <c r="J37" s="10" t="n"/>
      <c r="K37" s="6" t="n"/>
      <c r="L37" s="6" t="n"/>
      <c r="M37" s="6" t="n"/>
    </row>
    <row r="38">
      <c r="A38" s="7" t="n"/>
      <c r="B38" s="6" t="n"/>
      <c r="C38" s="6" t="n"/>
      <c r="D38">
        <f>IFERROR(VLOOKUP($C38,'CHART OF ACCOUNTS'!$A:$B,2,FALSE),"")</f>
        <v/>
      </c>
      <c r="E38" s="6" t="n"/>
      <c r="F38" s="6" t="n"/>
      <c r="G38" s="6" t="n"/>
      <c r="H38" s="6" t="n"/>
      <c r="I38" s="10" t="n"/>
      <c r="J38" s="10" t="n"/>
      <c r="K38" s="6" t="n"/>
      <c r="L38" s="6" t="n"/>
      <c r="M38" s="6" t="n"/>
    </row>
    <row r="39">
      <c r="A39" s="7" t="n"/>
      <c r="B39" s="6" t="n"/>
      <c r="C39" s="6" t="n"/>
      <c r="D39">
        <f>IFERROR(VLOOKUP($C39,'CHART OF ACCOUNTS'!$A:$B,2,FALSE),"")</f>
        <v/>
      </c>
      <c r="E39" s="6" t="n"/>
      <c r="F39" s="6" t="n"/>
      <c r="G39" s="6" t="n"/>
      <c r="H39" s="6" t="n"/>
      <c r="I39" s="10" t="n"/>
      <c r="J39" s="10" t="n"/>
      <c r="K39" s="6" t="n"/>
      <c r="L39" s="6" t="n"/>
      <c r="M39" s="6" t="n"/>
    </row>
    <row r="40">
      <c r="A40" s="7" t="n"/>
      <c r="B40" s="6" t="n"/>
      <c r="C40" s="6" t="n"/>
      <c r="D40">
        <f>IFERROR(VLOOKUP($C40,'CHART OF ACCOUNTS'!$A:$B,2,FALSE),"")</f>
        <v/>
      </c>
      <c r="E40" s="6" t="n"/>
      <c r="F40" s="6" t="n"/>
      <c r="G40" s="6" t="n"/>
      <c r="H40" s="6" t="n"/>
      <c r="I40" s="10" t="n"/>
      <c r="J40" s="10" t="n"/>
      <c r="K40" s="6" t="n"/>
      <c r="L40" s="6" t="n"/>
      <c r="M40" s="6" t="n"/>
    </row>
    <row r="41">
      <c r="A41" s="7" t="n"/>
      <c r="B41" s="6" t="n"/>
      <c r="C41" s="6" t="n"/>
      <c r="D41">
        <f>IFERROR(VLOOKUP($C41,'CHART OF ACCOUNTS'!$A:$B,2,FALSE),"")</f>
        <v/>
      </c>
      <c r="E41" s="6" t="n"/>
      <c r="F41" s="6" t="n"/>
      <c r="G41" s="6" t="n"/>
      <c r="H41" s="6" t="n"/>
      <c r="I41" s="10" t="n"/>
      <c r="J41" s="10" t="n"/>
      <c r="K41" s="6" t="n"/>
      <c r="L41" s="6" t="n"/>
      <c r="M41" s="6" t="n"/>
    </row>
    <row r="42">
      <c r="A42" s="7" t="n"/>
      <c r="B42" s="6" t="n"/>
      <c r="C42" s="6" t="n"/>
      <c r="D42">
        <f>IFERROR(VLOOKUP($C42,'CHART OF ACCOUNTS'!$A:$B,2,FALSE),"")</f>
        <v/>
      </c>
      <c r="E42" s="6" t="n"/>
      <c r="F42" s="6" t="n"/>
      <c r="G42" s="6" t="n"/>
      <c r="H42" s="6" t="n"/>
      <c r="I42" s="10" t="n"/>
      <c r="J42" s="10" t="n"/>
      <c r="K42" s="6" t="n"/>
      <c r="L42" s="6" t="n"/>
      <c r="M42" s="6" t="n"/>
    </row>
    <row r="43">
      <c r="A43" s="7" t="n"/>
      <c r="B43" s="6" t="n"/>
      <c r="C43" s="6" t="n"/>
      <c r="D43">
        <f>IFERROR(VLOOKUP($C43,'CHART OF ACCOUNTS'!$A:$B,2,FALSE),"")</f>
        <v/>
      </c>
      <c r="E43" s="6" t="n"/>
      <c r="F43" s="6" t="n"/>
      <c r="G43" s="6" t="n"/>
      <c r="H43" s="6" t="n"/>
      <c r="I43" s="10" t="n"/>
      <c r="J43" s="10" t="n"/>
      <c r="K43" s="6" t="n"/>
      <c r="L43" s="6" t="n"/>
      <c r="M43" s="6" t="n"/>
    </row>
    <row r="44">
      <c r="A44" s="7" t="n"/>
      <c r="B44" s="6" t="n"/>
      <c r="C44" s="6" t="n"/>
      <c r="D44">
        <f>IFERROR(VLOOKUP($C44,'CHART OF ACCOUNTS'!$A:$B,2,FALSE),"")</f>
        <v/>
      </c>
      <c r="E44" s="6" t="n"/>
      <c r="F44" s="6" t="n"/>
      <c r="G44" s="6" t="n"/>
      <c r="H44" s="6" t="n"/>
      <c r="I44" s="10" t="n"/>
      <c r="J44" s="10" t="n"/>
      <c r="K44" s="6" t="n"/>
      <c r="L44" s="6" t="n"/>
      <c r="M44" s="6" t="n"/>
    </row>
    <row r="45">
      <c r="A45" s="7" t="n"/>
      <c r="B45" s="6" t="n"/>
      <c r="C45" s="6" t="n"/>
      <c r="D45">
        <f>IFERROR(VLOOKUP($C45,'CHART OF ACCOUNTS'!$A:$B,2,FALSE),"")</f>
        <v/>
      </c>
      <c r="E45" s="6" t="n"/>
      <c r="F45" s="6" t="n"/>
      <c r="G45" s="6" t="n"/>
      <c r="H45" s="6" t="n"/>
      <c r="I45" s="10" t="n"/>
      <c r="J45" s="10" t="n"/>
      <c r="K45" s="6" t="n"/>
      <c r="L45" s="6" t="n"/>
      <c r="M45" s="6" t="n"/>
    </row>
    <row r="46">
      <c r="A46" s="7" t="n"/>
      <c r="B46" s="6" t="n"/>
      <c r="C46" s="6" t="n"/>
      <c r="D46">
        <f>IFERROR(VLOOKUP($C46,'CHART OF ACCOUNTS'!$A:$B,2,FALSE),"")</f>
        <v/>
      </c>
      <c r="E46" s="6" t="n"/>
      <c r="F46" s="6" t="n"/>
      <c r="G46" s="6" t="n"/>
      <c r="H46" s="6" t="n"/>
      <c r="I46" s="10" t="n"/>
      <c r="J46" s="10" t="n"/>
      <c r="K46" s="6" t="n"/>
      <c r="L46" s="6" t="n"/>
      <c r="M46" s="6" t="n"/>
    </row>
    <row r="47">
      <c r="A47" s="7" t="n"/>
      <c r="B47" s="6" t="n"/>
      <c r="C47" s="6" t="n"/>
      <c r="D47">
        <f>IFERROR(VLOOKUP($C47,'CHART OF ACCOUNTS'!$A:$B,2,FALSE),"")</f>
        <v/>
      </c>
      <c r="E47" s="6" t="n"/>
      <c r="F47" s="6" t="n"/>
      <c r="G47" s="6" t="n"/>
      <c r="H47" s="6" t="n"/>
      <c r="I47" s="10" t="n"/>
      <c r="J47" s="10" t="n"/>
      <c r="K47" s="6" t="n"/>
      <c r="L47" s="6" t="n"/>
      <c r="M47" s="6" t="n"/>
    </row>
    <row r="48">
      <c r="A48" s="7" t="n"/>
      <c r="B48" s="6" t="n"/>
      <c r="C48" s="6" t="n"/>
      <c r="D48">
        <f>IFERROR(VLOOKUP($C48,'CHART OF ACCOUNTS'!$A:$B,2,FALSE),"")</f>
        <v/>
      </c>
      <c r="E48" s="6" t="n"/>
      <c r="F48" s="6" t="n"/>
      <c r="G48" s="6" t="n"/>
      <c r="H48" s="6" t="n"/>
      <c r="I48" s="10" t="n"/>
      <c r="J48" s="10" t="n"/>
      <c r="K48" s="6" t="n"/>
      <c r="L48" s="6" t="n"/>
      <c r="M48" s="6" t="n"/>
    </row>
    <row r="49">
      <c r="A49" s="7" t="n"/>
      <c r="B49" s="6" t="n"/>
      <c r="C49" s="6" t="n"/>
      <c r="D49">
        <f>IFERROR(VLOOKUP($C49,'CHART OF ACCOUNTS'!$A:$B,2,FALSE),"")</f>
        <v/>
      </c>
      <c r="E49" s="6" t="n"/>
      <c r="F49" s="6" t="n"/>
      <c r="G49" s="6" t="n"/>
      <c r="H49" s="6" t="n"/>
      <c r="I49" s="10" t="n"/>
      <c r="J49" s="10" t="n"/>
      <c r="K49" s="6" t="n"/>
      <c r="L49" s="6" t="n"/>
      <c r="M49" s="6" t="n"/>
    </row>
    <row r="50">
      <c r="A50" s="7" t="n"/>
      <c r="B50" s="6" t="n"/>
      <c r="C50" s="6" t="n"/>
      <c r="D50">
        <f>IFERROR(VLOOKUP($C50,'CHART OF ACCOUNTS'!$A:$B,2,FALSE),"")</f>
        <v/>
      </c>
      <c r="E50" s="6" t="n"/>
      <c r="F50" s="6" t="n"/>
      <c r="G50" s="6" t="n"/>
      <c r="H50" s="6" t="n"/>
      <c r="I50" s="10" t="n"/>
      <c r="J50" s="10" t="n"/>
      <c r="K50" s="6" t="n"/>
      <c r="L50" s="6" t="n"/>
      <c r="M50" s="6" t="n"/>
    </row>
    <row r="51">
      <c r="A51" s="7" t="n"/>
      <c r="B51" s="6" t="n"/>
      <c r="C51" s="6" t="n"/>
      <c r="D51">
        <f>IFERROR(VLOOKUP($C51,'CHART OF ACCOUNTS'!$A:$B,2,FALSE),"")</f>
        <v/>
      </c>
      <c r="E51" s="6" t="n"/>
      <c r="F51" s="6" t="n"/>
      <c r="G51" s="6" t="n"/>
      <c r="H51" s="6" t="n"/>
      <c r="I51" s="10" t="n"/>
      <c r="J51" s="10" t="n"/>
      <c r="K51" s="6" t="n"/>
      <c r="L51" s="6" t="n"/>
      <c r="M51" s="6" t="n"/>
    </row>
    <row r="52">
      <c r="A52" s="7" t="n"/>
      <c r="B52" s="6" t="n"/>
      <c r="C52" s="6" t="n"/>
      <c r="D52">
        <f>IFERROR(VLOOKUP($C52,'CHART OF ACCOUNTS'!$A:$B,2,FALSE),"")</f>
        <v/>
      </c>
      <c r="E52" s="6" t="n"/>
      <c r="F52" s="6" t="n"/>
      <c r="G52" s="6" t="n"/>
      <c r="H52" s="6" t="n"/>
      <c r="I52" s="10" t="n"/>
      <c r="J52" s="10" t="n"/>
      <c r="K52" s="6" t="n"/>
      <c r="L52" s="6" t="n"/>
      <c r="M52" s="6" t="n"/>
    </row>
    <row r="53">
      <c r="A53" s="7" t="n"/>
      <c r="B53" s="6" t="n"/>
      <c r="C53" s="6" t="n"/>
      <c r="D53">
        <f>IFERROR(VLOOKUP($C53,'CHART OF ACCOUNTS'!$A:$B,2,FALSE),"")</f>
        <v/>
      </c>
      <c r="E53" s="6" t="n"/>
      <c r="F53" s="6" t="n"/>
      <c r="G53" s="6" t="n"/>
      <c r="H53" s="6" t="n"/>
      <c r="I53" s="10" t="n"/>
      <c r="J53" s="10" t="n"/>
      <c r="K53" s="6" t="n"/>
      <c r="L53" s="6" t="n"/>
      <c r="M53" s="6" t="n"/>
    </row>
    <row r="54">
      <c r="A54" s="7" t="n"/>
      <c r="B54" s="6" t="n"/>
      <c r="C54" s="6" t="n"/>
      <c r="D54">
        <f>IFERROR(VLOOKUP($C54,'CHART OF ACCOUNTS'!$A:$B,2,FALSE),"")</f>
        <v/>
      </c>
      <c r="E54" s="6" t="n"/>
      <c r="F54" s="6" t="n"/>
      <c r="G54" s="6" t="n"/>
      <c r="H54" s="6" t="n"/>
      <c r="I54" s="10" t="n"/>
      <c r="J54" s="10" t="n"/>
      <c r="K54" s="6" t="n"/>
      <c r="L54" s="6" t="n"/>
      <c r="M54" s="6" t="n"/>
    </row>
    <row r="55">
      <c r="A55" s="7" t="n"/>
      <c r="B55" s="6" t="n"/>
      <c r="C55" s="6" t="n"/>
      <c r="D55">
        <f>IFERROR(VLOOKUP($C55,'CHART OF ACCOUNTS'!$A:$B,2,FALSE),"")</f>
        <v/>
      </c>
      <c r="E55" s="6" t="n"/>
      <c r="F55" s="6" t="n"/>
      <c r="G55" s="6" t="n"/>
      <c r="H55" s="6" t="n"/>
      <c r="I55" s="10" t="n"/>
      <c r="J55" s="10" t="n"/>
      <c r="K55" s="6" t="n"/>
      <c r="L55" s="6" t="n"/>
      <c r="M55" s="6" t="n"/>
    </row>
    <row r="56">
      <c r="A56" s="7" t="n"/>
      <c r="B56" s="6" t="n"/>
      <c r="C56" s="6" t="n"/>
      <c r="D56">
        <f>IFERROR(VLOOKUP($C56,'CHART OF ACCOUNTS'!$A:$B,2,FALSE),"")</f>
        <v/>
      </c>
      <c r="E56" s="6" t="n"/>
      <c r="F56" s="6" t="n"/>
      <c r="G56" s="6" t="n"/>
      <c r="H56" s="6" t="n"/>
      <c r="I56" s="10" t="n"/>
      <c r="J56" s="10" t="n"/>
      <c r="K56" s="6" t="n"/>
      <c r="L56" s="6" t="n"/>
      <c r="M56" s="6" t="n"/>
    </row>
    <row r="57">
      <c r="A57" s="7" t="n"/>
      <c r="B57" s="6" t="n"/>
      <c r="C57" s="6" t="n"/>
      <c r="D57">
        <f>IFERROR(VLOOKUP($C57,'CHART OF ACCOUNTS'!$A:$B,2,FALSE),"")</f>
        <v/>
      </c>
      <c r="E57" s="6" t="n"/>
      <c r="F57" s="6" t="n"/>
      <c r="G57" s="6" t="n"/>
      <c r="H57" s="6" t="n"/>
      <c r="I57" s="10" t="n"/>
      <c r="J57" s="10" t="n"/>
      <c r="K57" s="6" t="n"/>
      <c r="L57" s="6" t="n"/>
      <c r="M57" s="6" t="n"/>
    </row>
    <row r="58">
      <c r="A58" s="7" t="n"/>
      <c r="B58" s="6" t="n"/>
      <c r="C58" s="6" t="n"/>
      <c r="D58">
        <f>IFERROR(VLOOKUP($C58,'CHART OF ACCOUNTS'!$A:$B,2,FALSE),"")</f>
        <v/>
      </c>
      <c r="E58" s="6" t="n"/>
      <c r="F58" s="6" t="n"/>
      <c r="G58" s="6" t="n"/>
      <c r="H58" s="6" t="n"/>
      <c r="I58" s="10" t="n"/>
      <c r="J58" s="10" t="n"/>
      <c r="K58" s="6" t="n"/>
      <c r="L58" s="6" t="n"/>
      <c r="M58" s="6" t="n"/>
    </row>
    <row r="59">
      <c r="A59" s="7" t="n"/>
      <c r="B59" s="6" t="n"/>
      <c r="C59" s="6" t="n"/>
      <c r="D59">
        <f>IFERROR(VLOOKUP($C59,'CHART OF ACCOUNTS'!$A:$B,2,FALSE),"")</f>
        <v/>
      </c>
      <c r="E59" s="6" t="n"/>
      <c r="F59" s="6" t="n"/>
      <c r="G59" s="6" t="n"/>
      <c r="H59" s="6" t="n"/>
      <c r="I59" s="10" t="n"/>
      <c r="J59" s="10" t="n"/>
      <c r="K59" s="6" t="n"/>
      <c r="L59" s="6" t="n"/>
      <c r="M59" s="6" t="n"/>
    </row>
    <row r="60">
      <c r="A60" s="7" t="n"/>
      <c r="B60" s="6" t="n"/>
      <c r="C60" s="6" t="n"/>
      <c r="D60">
        <f>IFERROR(VLOOKUP($C60,'CHART OF ACCOUNTS'!$A:$B,2,FALSE),"")</f>
        <v/>
      </c>
      <c r="E60" s="6" t="n"/>
      <c r="F60" s="6" t="n"/>
      <c r="G60" s="6" t="n"/>
      <c r="H60" s="6" t="n"/>
      <c r="I60" s="10" t="n"/>
      <c r="J60" s="10" t="n"/>
      <c r="K60" s="6" t="n"/>
      <c r="L60" s="6" t="n"/>
      <c r="M60" s="6" t="n"/>
    </row>
    <row r="61">
      <c r="A61" s="7" t="n"/>
      <c r="B61" s="6" t="n"/>
      <c r="C61" s="6" t="n"/>
      <c r="D61">
        <f>IFERROR(VLOOKUP($C61,'CHART OF ACCOUNTS'!$A:$B,2,FALSE),"")</f>
        <v/>
      </c>
      <c r="E61" s="6" t="n"/>
      <c r="F61" s="6" t="n"/>
      <c r="G61" s="6" t="n"/>
      <c r="H61" s="6" t="n"/>
      <c r="I61" s="10" t="n"/>
      <c r="J61" s="10" t="n"/>
      <c r="K61" s="6" t="n"/>
      <c r="L61" s="6" t="n"/>
      <c r="M61" s="6" t="n"/>
    </row>
    <row r="62">
      <c r="A62" s="7" t="n"/>
      <c r="B62" s="6" t="n"/>
      <c r="C62" s="6" t="n"/>
      <c r="D62">
        <f>IFERROR(VLOOKUP($C62,'CHART OF ACCOUNTS'!$A:$B,2,FALSE),"")</f>
        <v/>
      </c>
      <c r="E62" s="6" t="n"/>
      <c r="F62" s="6" t="n"/>
      <c r="G62" s="6" t="n"/>
      <c r="H62" s="6" t="n"/>
      <c r="I62" s="10" t="n"/>
      <c r="J62" s="10" t="n"/>
      <c r="K62" s="6" t="n"/>
      <c r="L62" s="6" t="n"/>
      <c r="M62" s="6" t="n"/>
    </row>
    <row r="63">
      <c r="A63" s="7" t="n"/>
      <c r="B63" s="6" t="n"/>
      <c r="C63" s="6" t="n"/>
      <c r="D63">
        <f>IFERROR(VLOOKUP($C63,'CHART OF ACCOUNTS'!$A:$B,2,FALSE),"")</f>
        <v/>
      </c>
      <c r="E63" s="6" t="n"/>
      <c r="F63" s="6" t="n"/>
      <c r="G63" s="6" t="n"/>
      <c r="H63" s="6" t="n"/>
      <c r="I63" s="10" t="n"/>
      <c r="J63" s="10" t="n"/>
      <c r="K63" s="6" t="n"/>
      <c r="L63" s="6" t="n"/>
      <c r="M63" s="6" t="n"/>
    </row>
    <row r="64">
      <c r="A64" s="7" t="n"/>
      <c r="B64" s="6" t="n"/>
      <c r="C64" s="6" t="n"/>
      <c r="D64">
        <f>IFERROR(VLOOKUP($C64,'CHART OF ACCOUNTS'!$A:$B,2,FALSE),"")</f>
        <v/>
      </c>
      <c r="E64" s="6" t="n"/>
      <c r="F64" s="6" t="n"/>
      <c r="G64" s="6" t="n"/>
      <c r="H64" s="6" t="n"/>
      <c r="I64" s="10" t="n"/>
      <c r="J64" s="10" t="n"/>
      <c r="K64" s="6" t="n"/>
      <c r="L64" s="6" t="n"/>
      <c r="M64" s="6" t="n"/>
    </row>
    <row r="65">
      <c r="A65" s="7" t="n"/>
      <c r="B65" s="6" t="n"/>
      <c r="C65" s="6" t="n"/>
      <c r="D65">
        <f>IFERROR(VLOOKUP($C65,'CHART OF ACCOUNTS'!$A:$B,2,FALSE),"")</f>
        <v/>
      </c>
      <c r="E65" s="6" t="n"/>
      <c r="F65" s="6" t="n"/>
      <c r="G65" s="6" t="n"/>
      <c r="H65" s="6" t="n"/>
      <c r="I65" s="10" t="n"/>
      <c r="J65" s="10" t="n"/>
      <c r="K65" s="6" t="n"/>
      <c r="L65" s="6" t="n"/>
      <c r="M65" s="6" t="n"/>
    </row>
    <row r="66">
      <c r="A66" s="7" t="n"/>
      <c r="B66" s="6" t="n"/>
      <c r="C66" s="6" t="n"/>
      <c r="D66">
        <f>IFERROR(VLOOKUP($C66,'CHART OF ACCOUNTS'!$A:$B,2,FALSE),"")</f>
        <v/>
      </c>
      <c r="E66" s="6" t="n"/>
      <c r="F66" s="6" t="n"/>
      <c r="G66" s="6" t="n"/>
      <c r="H66" s="6" t="n"/>
      <c r="I66" s="10" t="n"/>
      <c r="J66" s="10" t="n"/>
      <c r="K66" s="6" t="n"/>
      <c r="L66" s="6" t="n"/>
      <c r="M66" s="6" t="n"/>
    </row>
    <row r="67">
      <c r="A67" s="7" t="n"/>
      <c r="B67" s="6" t="n"/>
      <c r="C67" s="6" t="n"/>
      <c r="D67">
        <f>IFERROR(VLOOKUP($C67,'CHART OF ACCOUNTS'!$A:$B,2,FALSE),"")</f>
        <v/>
      </c>
      <c r="E67" s="6" t="n"/>
      <c r="F67" s="6" t="n"/>
      <c r="G67" s="6" t="n"/>
      <c r="H67" s="6" t="n"/>
      <c r="I67" s="10" t="n"/>
      <c r="J67" s="10" t="n"/>
      <c r="K67" s="6" t="n"/>
      <c r="L67" s="6" t="n"/>
      <c r="M67" s="6" t="n"/>
    </row>
    <row r="68">
      <c r="A68" s="7" t="n"/>
      <c r="B68" s="6" t="n"/>
      <c r="C68" s="6" t="n"/>
      <c r="D68">
        <f>IFERROR(VLOOKUP($C68,'CHART OF ACCOUNTS'!$A:$B,2,FALSE),"")</f>
        <v/>
      </c>
      <c r="E68" s="6" t="n"/>
      <c r="F68" s="6" t="n"/>
      <c r="G68" s="6" t="n"/>
      <c r="H68" s="6" t="n"/>
      <c r="I68" s="10" t="n"/>
      <c r="J68" s="10" t="n"/>
      <c r="K68" s="6" t="n"/>
      <c r="L68" s="6" t="n"/>
      <c r="M68" s="6" t="n"/>
    </row>
    <row r="69">
      <c r="A69" s="7" t="n"/>
      <c r="B69" s="6" t="n"/>
      <c r="C69" s="6" t="n"/>
      <c r="D69">
        <f>IFERROR(VLOOKUP($C69,'CHART OF ACCOUNTS'!$A:$B,2,FALSE),"")</f>
        <v/>
      </c>
      <c r="E69" s="6" t="n"/>
      <c r="F69" s="6" t="n"/>
      <c r="G69" s="6" t="n"/>
      <c r="H69" s="6" t="n"/>
      <c r="I69" s="10" t="n"/>
      <c r="J69" s="10" t="n"/>
      <c r="K69" s="6" t="n"/>
      <c r="L69" s="6" t="n"/>
      <c r="M69" s="6" t="n"/>
    </row>
    <row r="70">
      <c r="A70" s="7" t="n"/>
      <c r="B70" s="6" t="n"/>
      <c r="C70" s="6" t="n"/>
      <c r="D70">
        <f>IFERROR(VLOOKUP($C70,'CHART OF ACCOUNTS'!$A:$B,2,FALSE),"")</f>
        <v/>
      </c>
      <c r="E70" s="6" t="n"/>
      <c r="F70" s="6" t="n"/>
      <c r="G70" s="6" t="n"/>
      <c r="H70" s="6" t="n"/>
      <c r="I70" s="10" t="n"/>
      <c r="J70" s="10" t="n"/>
      <c r="K70" s="6" t="n"/>
      <c r="L70" s="6" t="n"/>
      <c r="M70" s="6" t="n"/>
    </row>
    <row r="71">
      <c r="A71" s="7" t="n"/>
      <c r="B71" s="6" t="n"/>
      <c r="C71" s="6" t="n"/>
      <c r="D71">
        <f>IFERROR(VLOOKUP($C71,'CHART OF ACCOUNTS'!$A:$B,2,FALSE),"")</f>
        <v/>
      </c>
      <c r="E71" s="6" t="n"/>
      <c r="F71" s="6" t="n"/>
      <c r="G71" s="6" t="n"/>
      <c r="H71" s="6" t="n"/>
      <c r="I71" s="10" t="n"/>
      <c r="J71" s="10" t="n"/>
      <c r="K71" s="6" t="n"/>
      <c r="L71" s="6" t="n"/>
      <c r="M71" s="6" t="n"/>
    </row>
    <row r="72">
      <c r="A72" s="7" t="n"/>
      <c r="B72" s="6" t="n"/>
      <c r="C72" s="6" t="n"/>
      <c r="D72">
        <f>IFERROR(VLOOKUP($C72,'CHART OF ACCOUNTS'!$A:$B,2,FALSE),"")</f>
        <v/>
      </c>
      <c r="E72" s="6" t="n"/>
      <c r="F72" s="6" t="n"/>
      <c r="G72" s="6" t="n"/>
      <c r="H72" s="6" t="n"/>
      <c r="I72" s="10" t="n"/>
      <c r="J72" s="10" t="n"/>
      <c r="K72" s="6" t="n"/>
      <c r="L72" s="6" t="n"/>
      <c r="M72" s="6" t="n"/>
    </row>
    <row r="73">
      <c r="A73" s="7" t="n"/>
      <c r="B73" s="6" t="n"/>
      <c r="C73" s="6" t="n"/>
      <c r="D73">
        <f>IFERROR(VLOOKUP($C73,'CHART OF ACCOUNTS'!$A:$B,2,FALSE),"")</f>
        <v/>
      </c>
      <c r="E73" s="6" t="n"/>
      <c r="F73" s="6" t="n"/>
      <c r="G73" s="6" t="n"/>
      <c r="H73" s="6" t="n"/>
      <c r="I73" s="10" t="n"/>
      <c r="J73" s="10" t="n"/>
      <c r="K73" s="6" t="n"/>
      <c r="L73" s="6" t="n"/>
      <c r="M73" s="6" t="n"/>
    </row>
    <row r="74">
      <c r="A74" s="7" t="n"/>
      <c r="B74" s="6" t="n"/>
      <c r="C74" s="6" t="n"/>
      <c r="D74">
        <f>IFERROR(VLOOKUP($C74,'CHART OF ACCOUNTS'!$A:$B,2,FALSE),"")</f>
        <v/>
      </c>
      <c r="E74" s="6" t="n"/>
      <c r="F74" s="6" t="n"/>
      <c r="G74" s="6" t="n"/>
      <c r="H74" s="6" t="n"/>
      <c r="I74" s="10" t="n"/>
      <c r="J74" s="10" t="n"/>
      <c r="K74" s="6" t="n"/>
      <c r="L74" s="6" t="n"/>
      <c r="M74" s="6" t="n"/>
    </row>
    <row r="75">
      <c r="A75" s="7" t="n"/>
      <c r="B75" s="6" t="n"/>
      <c r="C75" s="6" t="n"/>
      <c r="D75">
        <f>IFERROR(VLOOKUP($C75,'CHART OF ACCOUNTS'!$A:$B,2,FALSE),"")</f>
        <v/>
      </c>
      <c r="E75" s="6" t="n"/>
      <c r="F75" s="6" t="n"/>
      <c r="G75" s="6" t="n"/>
      <c r="H75" s="6" t="n"/>
      <c r="I75" s="10" t="n"/>
      <c r="J75" s="10" t="n"/>
      <c r="K75" s="6" t="n"/>
      <c r="L75" s="6" t="n"/>
      <c r="M75" s="6" t="n"/>
    </row>
    <row r="76">
      <c r="A76" s="7" t="n"/>
      <c r="B76" s="6" t="n"/>
      <c r="C76" s="6" t="n"/>
      <c r="D76">
        <f>IFERROR(VLOOKUP($C76,'CHART OF ACCOUNTS'!$A:$B,2,FALSE),"")</f>
        <v/>
      </c>
      <c r="E76" s="6" t="n"/>
      <c r="F76" s="6" t="n"/>
      <c r="G76" s="6" t="n"/>
      <c r="H76" s="6" t="n"/>
      <c r="I76" s="10" t="n"/>
      <c r="J76" s="10" t="n"/>
      <c r="K76" s="6" t="n"/>
      <c r="L76" s="6" t="n"/>
      <c r="M76" s="6" t="n"/>
    </row>
    <row r="77">
      <c r="A77" s="7" t="n"/>
      <c r="B77" s="6" t="n"/>
      <c r="C77" s="6" t="n"/>
      <c r="D77">
        <f>IFERROR(VLOOKUP($C77,'CHART OF ACCOUNTS'!$A:$B,2,FALSE),"")</f>
        <v/>
      </c>
      <c r="E77" s="6" t="n"/>
      <c r="F77" s="6" t="n"/>
      <c r="G77" s="6" t="n"/>
      <c r="H77" s="6" t="n"/>
      <c r="I77" s="10" t="n"/>
      <c r="J77" s="10" t="n"/>
      <c r="K77" s="6" t="n"/>
      <c r="L77" s="6" t="n"/>
      <c r="M77" s="6" t="n"/>
    </row>
    <row r="78">
      <c r="A78" s="7" t="n"/>
      <c r="B78" s="6" t="n"/>
      <c r="C78" s="6" t="n"/>
      <c r="D78">
        <f>IFERROR(VLOOKUP($C78,'CHART OF ACCOUNTS'!$A:$B,2,FALSE),"")</f>
        <v/>
      </c>
      <c r="E78" s="6" t="n"/>
      <c r="F78" s="6" t="n"/>
      <c r="G78" s="6" t="n"/>
      <c r="H78" s="6" t="n"/>
      <c r="I78" s="10" t="n"/>
      <c r="J78" s="10" t="n"/>
      <c r="K78" s="6" t="n"/>
      <c r="L78" s="6" t="n"/>
      <c r="M78" s="6" t="n"/>
    </row>
    <row r="79">
      <c r="A79" s="7" t="n"/>
      <c r="B79" s="6" t="n"/>
      <c r="C79" s="6" t="n"/>
      <c r="D79">
        <f>IFERROR(VLOOKUP($C79,'CHART OF ACCOUNTS'!$A:$B,2,FALSE),"")</f>
        <v/>
      </c>
      <c r="E79" s="6" t="n"/>
      <c r="F79" s="6" t="n"/>
      <c r="G79" s="6" t="n"/>
      <c r="H79" s="6" t="n"/>
      <c r="I79" s="10" t="n"/>
      <c r="J79" s="10" t="n"/>
      <c r="K79" s="6" t="n"/>
      <c r="L79" s="6" t="n"/>
      <c r="M79" s="6" t="n"/>
    </row>
    <row r="80">
      <c r="A80" s="7" t="n"/>
      <c r="B80" s="6" t="n"/>
      <c r="C80" s="6" t="n"/>
      <c r="D80">
        <f>IFERROR(VLOOKUP($C80,'CHART OF ACCOUNTS'!$A:$B,2,FALSE),"")</f>
        <v/>
      </c>
      <c r="E80" s="6" t="n"/>
      <c r="F80" s="6" t="n"/>
      <c r="G80" s="6" t="n"/>
      <c r="H80" s="6" t="n"/>
      <c r="I80" s="10" t="n"/>
      <c r="J80" s="10" t="n"/>
      <c r="K80" s="6" t="n"/>
      <c r="L80" s="6" t="n"/>
      <c r="M80" s="6" t="n"/>
    </row>
    <row r="81">
      <c r="A81" s="7" t="n"/>
      <c r="B81" s="6" t="n"/>
      <c r="C81" s="6" t="n"/>
      <c r="D81">
        <f>IFERROR(VLOOKUP($C81,'CHART OF ACCOUNTS'!$A:$B,2,FALSE),"")</f>
        <v/>
      </c>
      <c r="E81" s="6" t="n"/>
      <c r="F81" s="6" t="n"/>
      <c r="G81" s="6" t="n"/>
      <c r="H81" s="6" t="n"/>
      <c r="I81" s="10" t="n"/>
      <c r="J81" s="10" t="n"/>
      <c r="K81" s="6" t="n"/>
      <c r="L81" s="6" t="n"/>
      <c r="M81" s="6" t="n"/>
    </row>
    <row r="82">
      <c r="A82" s="7" t="n"/>
      <c r="B82" s="6" t="n"/>
      <c r="C82" s="6" t="n"/>
      <c r="D82">
        <f>IFERROR(VLOOKUP($C82,'CHART OF ACCOUNTS'!$A:$B,2,FALSE),"")</f>
        <v/>
      </c>
      <c r="E82" s="6" t="n"/>
      <c r="F82" s="6" t="n"/>
      <c r="G82" s="6" t="n"/>
      <c r="H82" s="6" t="n"/>
      <c r="I82" s="10" t="n"/>
      <c r="J82" s="10" t="n"/>
      <c r="K82" s="6" t="n"/>
      <c r="L82" s="6" t="n"/>
      <c r="M82" s="6" t="n"/>
    </row>
    <row r="83">
      <c r="A83" s="7" t="n"/>
      <c r="B83" s="6" t="n"/>
      <c r="C83" s="6" t="n"/>
      <c r="D83">
        <f>IFERROR(VLOOKUP($C83,'CHART OF ACCOUNTS'!$A:$B,2,FALSE),"")</f>
        <v/>
      </c>
      <c r="E83" s="6" t="n"/>
      <c r="F83" s="6" t="n"/>
      <c r="G83" s="6" t="n"/>
      <c r="H83" s="6" t="n"/>
      <c r="I83" s="10" t="n"/>
      <c r="J83" s="10" t="n"/>
      <c r="K83" s="6" t="n"/>
      <c r="L83" s="6" t="n"/>
      <c r="M83" s="6" t="n"/>
    </row>
    <row r="84">
      <c r="A84" s="7" t="n"/>
      <c r="B84" s="6" t="n"/>
      <c r="C84" s="6" t="n"/>
      <c r="D84">
        <f>IFERROR(VLOOKUP($C84,'CHART OF ACCOUNTS'!$A:$B,2,FALSE),"")</f>
        <v/>
      </c>
      <c r="E84" s="6" t="n"/>
      <c r="F84" s="6" t="n"/>
      <c r="G84" s="6" t="n"/>
      <c r="H84" s="6" t="n"/>
      <c r="I84" s="10" t="n"/>
      <c r="J84" s="10" t="n"/>
      <c r="K84" s="6" t="n"/>
      <c r="L84" s="6" t="n"/>
      <c r="M84" s="6" t="n"/>
    </row>
    <row r="85">
      <c r="A85" s="7" t="n"/>
      <c r="B85" s="6" t="n"/>
      <c r="C85" s="6" t="n"/>
      <c r="D85">
        <f>IFERROR(VLOOKUP($C85,'CHART OF ACCOUNTS'!$A:$B,2,FALSE),"")</f>
        <v/>
      </c>
      <c r="E85" s="6" t="n"/>
      <c r="F85" s="6" t="n"/>
      <c r="G85" s="6" t="n"/>
      <c r="H85" s="6" t="n"/>
      <c r="I85" s="10" t="n"/>
      <c r="J85" s="10" t="n"/>
      <c r="K85" s="6" t="n"/>
      <c r="L85" s="6" t="n"/>
      <c r="M85" s="6" t="n"/>
    </row>
    <row r="86">
      <c r="A86" s="7" t="n"/>
      <c r="B86" s="6" t="n"/>
      <c r="C86" s="6" t="n"/>
      <c r="D86">
        <f>IFERROR(VLOOKUP($C86,'CHART OF ACCOUNTS'!$A:$B,2,FALSE),"")</f>
        <v/>
      </c>
      <c r="E86" s="6" t="n"/>
      <c r="F86" s="6" t="n"/>
      <c r="G86" s="6" t="n"/>
      <c r="H86" s="6" t="n"/>
      <c r="I86" s="10" t="n"/>
      <c r="J86" s="10" t="n"/>
      <c r="K86" s="6" t="n"/>
      <c r="L86" s="6" t="n"/>
      <c r="M86" s="6" t="n"/>
    </row>
    <row r="87">
      <c r="A87" s="7" t="n"/>
      <c r="B87" s="6" t="n"/>
      <c r="C87" s="6" t="n"/>
      <c r="D87">
        <f>IFERROR(VLOOKUP($C87,'CHART OF ACCOUNTS'!$A:$B,2,FALSE),"")</f>
        <v/>
      </c>
      <c r="E87" s="6" t="n"/>
      <c r="F87" s="6" t="n"/>
      <c r="G87" s="6" t="n"/>
      <c r="H87" s="6" t="n"/>
      <c r="I87" s="10" t="n"/>
      <c r="J87" s="10" t="n"/>
      <c r="K87" s="6" t="n"/>
      <c r="L87" s="6" t="n"/>
      <c r="M87" s="6" t="n"/>
    </row>
    <row r="88">
      <c r="A88" s="7" t="n"/>
      <c r="B88" s="6" t="n"/>
      <c r="C88" s="6" t="n"/>
      <c r="D88">
        <f>IFERROR(VLOOKUP($C88,'CHART OF ACCOUNTS'!$A:$B,2,FALSE),"")</f>
        <v/>
      </c>
      <c r="E88" s="6" t="n"/>
      <c r="F88" s="6" t="n"/>
      <c r="G88" s="6" t="n"/>
      <c r="H88" s="6" t="n"/>
      <c r="I88" s="10" t="n"/>
      <c r="J88" s="10" t="n"/>
      <c r="K88" s="6" t="n"/>
      <c r="L88" s="6" t="n"/>
      <c r="M88" s="6" t="n"/>
    </row>
    <row r="89">
      <c r="A89" s="7" t="n"/>
      <c r="B89" s="6" t="n"/>
      <c r="C89" s="6" t="n"/>
      <c r="D89">
        <f>IFERROR(VLOOKUP($C89,'CHART OF ACCOUNTS'!$A:$B,2,FALSE),"")</f>
        <v/>
      </c>
      <c r="E89" s="6" t="n"/>
      <c r="F89" s="6" t="n"/>
      <c r="G89" s="6" t="n"/>
      <c r="H89" s="6" t="n"/>
      <c r="I89" s="10" t="n"/>
      <c r="J89" s="10" t="n"/>
      <c r="K89" s="6" t="n"/>
      <c r="L89" s="6" t="n"/>
      <c r="M89" s="6" t="n"/>
    </row>
    <row r="90">
      <c r="A90" s="7" t="n"/>
      <c r="B90" s="6" t="n"/>
      <c r="C90" s="6" t="n"/>
      <c r="D90">
        <f>IFERROR(VLOOKUP($C90,'CHART OF ACCOUNTS'!$A:$B,2,FALSE),"")</f>
        <v/>
      </c>
      <c r="E90" s="6" t="n"/>
      <c r="F90" s="6" t="n"/>
      <c r="G90" s="6" t="n"/>
      <c r="H90" s="6" t="n"/>
      <c r="I90" s="10" t="n"/>
      <c r="J90" s="10" t="n"/>
      <c r="K90" s="6" t="n"/>
      <c r="L90" s="6" t="n"/>
      <c r="M90" s="6" t="n"/>
    </row>
    <row r="91">
      <c r="A91" s="7" t="n"/>
      <c r="B91" s="6" t="n"/>
      <c r="C91" s="6" t="n"/>
      <c r="D91">
        <f>IFERROR(VLOOKUP($C91,'CHART OF ACCOUNTS'!$A:$B,2,FALSE),"")</f>
        <v/>
      </c>
      <c r="E91" s="6" t="n"/>
      <c r="F91" s="6" t="n"/>
      <c r="G91" s="6" t="n"/>
      <c r="H91" s="6" t="n"/>
      <c r="I91" s="10" t="n"/>
      <c r="J91" s="10" t="n"/>
      <c r="K91" s="6" t="n"/>
      <c r="L91" s="6" t="n"/>
      <c r="M91" s="6" t="n"/>
    </row>
    <row r="92">
      <c r="A92" s="7" t="n"/>
      <c r="B92" s="6" t="n"/>
      <c r="C92" s="6" t="n"/>
      <c r="D92">
        <f>IFERROR(VLOOKUP($C92,'CHART OF ACCOUNTS'!$A:$B,2,FALSE),"")</f>
        <v/>
      </c>
      <c r="E92" s="6" t="n"/>
      <c r="F92" s="6" t="n"/>
      <c r="G92" s="6" t="n"/>
      <c r="H92" s="6" t="n"/>
      <c r="I92" s="10" t="n"/>
      <c r="J92" s="10" t="n"/>
      <c r="K92" s="6" t="n"/>
      <c r="L92" s="6" t="n"/>
      <c r="M92" s="6" t="n"/>
    </row>
    <row r="93">
      <c r="A93" s="7" t="n"/>
      <c r="B93" s="6" t="n"/>
      <c r="C93" s="6" t="n"/>
      <c r="D93">
        <f>IFERROR(VLOOKUP($C93,'CHART OF ACCOUNTS'!$A:$B,2,FALSE),"")</f>
        <v/>
      </c>
      <c r="E93" s="6" t="n"/>
      <c r="F93" s="6" t="n"/>
      <c r="G93" s="6" t="n"/>
      <c r="H93" s="6" t="n"/>
      <c r="I93" s="10" t="n"/>
      <c r="J93" s="10" t="n"/>
      <c r="K93" s="6" t="n"/>
      <c r="L93" s="6" t="n"/>
      <c r="M93" s="6" t="n"/>
    </row>
    <row r="94">
      <c r="A94" s="7" t="n"/>
      <c r="B94" s="6" t="n"/>
      <c r="C94" s="6" t="n"/>
      <c r="D94">
        <f>IFERROR(VLOOKUP($C94,'CHART OF ACCOUNTS'!$A:$B,2,FALSE),"")</f>
        <v/>
      </c>
      <c r="E94" s="6" t="n"/>
      <c r="F94" s="6" t="n"/>
      <c r="G94" s="6" t="n"/>
      <c r="H94" s="6" t="n"/>
      <c r="I94" s="10" t="n"/>
      <c r="J94" s="10" t="n"/>
      <c r="K94" s="6" t="n"/>
      <c r="L94" s="6" t="n"/>
      <c r="M94" s="6" t="n"/>
    </row>
    <row r="95">
      <c r="A95" s="7" t="n"/>
      <c r="B95" s="6" t="n"/>
      <c r="C95" s="6" t="n"/>
      <c r="D95">
        <f>IFERROR(VLOOKUP($C95,'CHART OF ACCOUNTS'!$A:$B,2,FALSE),"")</f>
        <v/>
      </c>
      <c r="E95" s="6" t="n"/>
      <c r="F95" s="6" t="n"/>
      <c r="G95" s="6" t="n"/>
      <c r="H95" s="6" t="n"/>
      <c r="I95" s="10" t="n"/>
      <c r="J95" s="10" t="n"/>
      <c r="K95" s="6" t="n"/>
      <c r="L95" s="6" t="n"/>
      <c r="M95" s="6" t="n"/>
    </row>
    <row r="96">
      <c r="A96" s="7" t="n"/>
      <c r="B96" s="6" t="n"/>
      <c r="C96" s="6" t="n"/>
      <c r="D96">
        <f>IFERROR(VLOOKUP($C96,'CHART OF ACCOUNTS'!$A:$B,2,FALSE),"")</f>
        <v/>
      </c>
      <c r="E96" s="6" t="n"/>
      <c r="F96" s="6" t="n"/>
      <c r="G96" s="6" t="n"/>
      <c r="H96" s="6" t="n"/>
      <c r="I96" s="10" t="n"/>
      <c r="J96" s="10" t="n"/>
      <c r="K96" s="6" t="n"/>
      <c r="L96" s="6" t="n"/>
      <c r="M96" s="6" t="n"/>
    </row>
    <row r="97">
      <c r="A97" s="7" t="n"/>
      <c r="B97" s="6" t="n"/>
      <c r="C97" s="6" t="n"/>
      <c r="D97">
        <f>IFERROR(VLOOKUP($C97,'CHART OF ACCOUNTS'!$A:$B,2,FALSE),"")</f>
        <v/>
      </c>
      <c r="E97" s="6" t="n"/>
      <c r="F97" s="6" t="n"/>
      <c r="G97" s="6" t="n"/>
      <c r="H97" s="6" t="n"/>
      <c r="I97" s="10" t="n"/>
      <c r="J97" s="10" t="n"/>
      <c r="K97" s="6" t="n"/>
      <c r="L97" s="6" t="n"/>
      <c r="M97" s="6" t="n"/>
    </row>
    <row r="98">
      <c r="A98" s="7" t="n"/>
      <c r="B98" s="6" t="n"/>
      <c r="C98" s="6" t="n"/>
      <c r="D98">
        <f>IFERROR(VLOOKUP($C98,'CHART OF ACCOUNTS'!$A:$B,2,FALSE),"")</f>
        <v/>
      </c>
      <c r="E98" s="6" t="n"/>
      <c r="F98" s="6" t="n"/>
      <c r="G98" s="6" t="n"/>
      <c r="H98" s="6" t="n"/>
      <c r="I98" s="10" t="n"/>
      <c r="J98" s="10" t="n"/>
      <c r="K98" s="6" t="n"/>
      <c r="L98" s="6" t="n"/>
      <c r="M98" s="6" t="n"/>
    </row>
    <row r="99">
      <c r="A99" s="7" t="n"/>
      <c r="B99" s="6" t="n"/>
      <c r="C99" s="6" t="n"/>
      <c r="D99">
        <f>IFERROR(VLOOKUP($C99,'CHART OF ACCOUNTS'!$A:$B,2,FALSE),"")</f>
        <v/>
      </c>
      <c r="E99" s="6" t="n"/>
      <c r="F99" s="6" t="n"/>
      <c r="G99" s="6" t="n"/>
      <c r="H99" s="6" t="n"/>
      <c r="I99" s="10" t="n"/>
      <c r="J99" s="10" t="n"/>
      <c r="K99" s="6" t="n"/>
      <c r="L99" s="6" t="n"/>
      <c r="M99" s="6" t="n"/>
    </row>
    <row r="100">
      <c r="A100" s="7" t="n"/>
      <c r="B100" s="6" t="n"/>
      <c r="C100" s="6" t="n"/>
      <c r="D100">
        <f>IFERROR(VLOOKUP($C100,'CHART OF ACCOUNTS'!$A:$B,2,FALSE),"")</f>
        <v/>
      </c>
      <c r="E100" s="6" t="n"/>
      <c r="F100" s="6" t="n"/>
      <c r="G100" s="6" t="n"/>
      <c r="H100" s="6" t="n"/>
      <c r="I100" s="10" t="n"/>
      <c r="J100" s="10" t="n"/>
      <c r="K100" s="6" t="n"/>
      <c r="L100" s="6" t="n"/>
      <c r="M100" s="6" t="n"/>
    </row>
    <row r="101">
      <c r="A101" s="7" t="n"/>
      <c r="B101" s="6" t="n"/>
      <c r="C101" s="6" t="n"/>
      <c r="D101">
        <f>IFERROR(VLOOKUP($C101,'CHART OF ACCOUNTS'!$A:$B,2,FALSE),"")</f>
        <v/>
      </c>
      <c r="E101" s="6" t="n"/>
      <c r="F101" s="6" t="n"/>
      <c r="G101" s="6" t="n"/>
      <c r="H101" s="6" t="n"/>
      <c r="I101" s="10" t="n"/>
      <c r="J101" s="10" t="n"/>
      <c r="K101" s="6" t="n"/>
      <c r="L101" s="6" t="n"/>
      <c r="M101" s="6" t="n"/>
    </row>
    <row r="102">
      <c r="A102" s="7" t="n"/>
      <c r="B102" s="6" t="n"/>
      <c r="C102" s="6" t="n"/>
      <c r="D102">
        <f>IFERROR(VLOOKUP($C102,'CHART OF ACCOUNTS'!$A:$B,2,FALSE),"")</f>
        <v/>
      </c>
      <c r="E102" s="6" t="n"/>
      <c r="F102" s="6" t="n"/>
      <c r="G102" s="6" t="n"/>
      <c r="H102" s="6" t="n"/>
      <c r="I102" s="10" t="n"/>
      <c r="J102" s="10" t="n"/>
      <c r="K102" s="6" t="n"/>
      <c r="L102" s="6" t="n"/>
      <c r="M102" s="6" t="n"/>
    </row>
    <row r="103">
      <c r="A103" s="7" t="n"/>
      <c r="B103" s="6" t="n"/>
      <c r="C103" s="6" t="n"/>
      <c r="D103">
        <f>IFERROR(VLOOKUP($C103,'CHART OF ACCOUNTS'!$A:$B,2,FALSE),"")</f>
        <v/>
      </c>
      <c r="E103" s="6" t="n"/>
      <c r="F103" s="6" t="n"/>
      <c r="G103" s="6" t="n"/>
      <c r="H103" s="6" t="n"/>
      <c r="I103" s="10" t="n"/>
      <c r="J103" s="10" t="n"/>
      <c r="K103" s="6" t="n"/>
      <c r="L103" s="6" t="n"/>
      <c r="M103" s="6" t="n"/>
    </row>
    <row r="104">
      <c r="A104" s="7" t="n"/>
      <c r="B104" s="6" t="n"/>
      <c r="C104" s="6" t="n"/>
      <c r="D104">
        <f>IFERROR(VLOOKUP($C104,'CHART OF ACCOUNTS'!$A:$B,2,FALSE),"")</f>
        <v/>
      </c>
      <c r="E104" s="6" t="n"/>
      <c r="F104" s="6" t="n"/>
      <c r="G104" s="6" t="n"/>
      <c r="H104" s="6" t="n"/>
      <c r="I104" s="10" t="n"/>
      <c r="J104" s="10" t="n"/>
      <c r="K104" s="6" t="n"/>
      <c r="L104" s="6" t="n"/>
      <c r="M104" s="6" t="n"/>
    </row>
    <row r="105">
      <c r="A105" s="7" t="n"/>
      <c r="B105" s="6" t="n"/>
      <c r="C105" s="6" t="n"/>
      <c r="D105">
        <f>IFERROR(VLOOKUP($C105,'CHART OF ACCOUNTS'!$A:$B,2,FALSE),"")</f>
        <v/>
      </c>
      <c r="E105" s="6" t="n"/>
      <c r="F105" s="6" t="n"/>
      <c r="G105" s="6" t="n"/>
      <c r="H105" s="6" t="n"/>
      <c r="I105" s="10" t="n"/>
      <c r="J105" s="10" t="n"/>
      <c r="K105" s="6" t="n"/>
      <c r="L105" s="6" t="n"/>
      <c r="M105" s="6" t="n"/>
    </row>
    <row r="106">
      <c r="A106" s="7" t="n"/>
      <c r="B106" s="6" t="n"/>
      <c r="C106" s="6" t="n"/>
      <c r="D106">
        <f>IFERROR(VLOOKUP($C106,'CHART OF ACCOUNTS'!$A:$B,2,FALSE),"")</f>
        <v/>
      </c>
      <c r="E106" s="6" t="n"/>
      <c r="F106" s="6" t="n"/>
      <c r="G106" s="6" t="n"/>
      <c r="H106" s="6" t="n"/>
      <c r="I106" s="10" t="n"/>
      <c r="J106" s="10" t="n"/>
      <c r="K106" s="6" t="n"/>
      <c r="L106" s="6" t="n"/>
      <c r="M106" s="6" t="n"/>
    </row>
    <row r="107">
      <c r="A107" s="7" t="n"/>
      <c r="B107" s="6" t="n"/>
      <c r="C107" s="6" t="n"/>
      <c r="D107">
        <f>IFERROR(VLOOKUP($C107,'CHART OF ACCOUNTS'!$A:$B,2,FALSE),"")</f>
        <v/>
      </c>
      <c r="E107" s="6" t="n"/>
      <c r="F107" s="6" t="n"/>
      <c r="G107" s="6" t="n"/>
      <c r="H107" s="6" t="n"/>
      <c r="I107" s="10" t="n"/>
      <c r="J107" s="10" t="n"/>
      <c r="K107" s="6" t="n"/>
      <c r="L107" s="6" t="n"/>
      <c r="M107" s="6" t="n"/>
    </row>
    <row r="108">
      <c r="A108" s="7" t="n"/>
      <c r="B108" s="6" t="n"/>
      <c r="C108" s="6" t="n"/>
      <c r="D108">
        <f>IFERROR(VLOOKUP($C108,'CHART OF ACCOUNTS'!$A:$B,2,FALSE),"")</f>
        <v/>
      </c>
      <c r="E108" s="6" t="n"/>
      <c r="F108" s="6" t="n"/>
      <c r="G108" s="6" t="n"/>
      <c r="H108" s="6" t="n"/>
      <c r="I108" s="10" t="n"/>
      <c r="J108" s="10" t="n"/>
      <c r="K108" s="6" t="n"/>
      <c r="L108" s="6" t="n"/>
      <c r="M108" s="6" t="n"/>
    </row>
    <row r="109">
      <c r="A109" s="7" t="n"/>
      <c r="B109" s="6" t="n"/>
      <c r="C109" s="6" t="n"/>
      <c r="D109">
        <f>IFERROR(VLOOKUP($C109,'CHART OF ACCOUNTS'!$A:$B,2,FALSE),"")</f>
        <v/>
      </c>
      <c r="E109" s="6" t="n"/>
      <c r="F109" s="6" t="n"/>
      <c r="G109" s="6" t="n"/>
      <c r="H109" s="6" t="n"/>
      <c r="I109" s="10" t="n"/>
      <c r="J109" s="10" t="n"/>
      <c r="K109" s="6" t="n"/>
      <c r="L109" s="6" t="n"/>
      <c r="M109" s="6" t="n"/>
    </row>
    <row r="110">
      <c r="A110" s="7" t="n"/>
      <c r="B110" s="6" t="n"/>
      <c r="C110" s="6" t="n"/>
      <c r="D110">
        <f>IFERROR(VLOOKUP($C110,'CHART OF ACCOUNTS'!$A:$B,2,FALSE),"")</f>
        <v/>
      </c>
      <c r="E110" s="6" t="n"/>
      <c r="F110" s="6" t="n"/>
      <c r="G110" s="6" t="n"/>
      <c r="H110" s="6" t="n"/>
      <c r="I110" s="10" t="n"/>
      <c r="J110" s="10" t="n"/>
      <c r="K110" s="6" t="n"/>
      <c r="L110" s="6" t="n"/>
      <c r="M110" s="6" t="n"/>
    </row>
    <row r="111">
      <c r="A111" s="7" t="n"/>
      <c r="B111" s="6" t="n"/>
      <c r="C111" s="6" t="n"/>
      <c r="D111">
        <f>IFERROR(VLOOKUP($C111,'CHART OF ACCOUNTS'!$A:$B,2,FALSE),"")</f>
        <v/>
      </c>
      <c r="E111" s="6" t="n"/>
      <c r="F111" s="6" t="n"/>
      <c r="G111" s="6" t="n"/>
      <c r="H111" s="6" t="n"/>
      <c r="I111" s="10" t="n"/>
      <c r="J111" s="10" t="n"/>
      <c r="K111" s="6" t="n"/>
      <c r="L111" s="6" t="n"/>
      <c r="M111" s="6" t="n"/>
    </row>
    <row r="112">
      <c r="A112" s="7" t="n"/>
      <c r="B112" s="6" t="n"/>
      <c r="C112" s="6" t="n"/>
      <c r="D112">
        <f>IFERROR(VLOOKUP($C112,'CHART OF ACCOUNTS'!$A:$B,2,FALSE),"")</f>
        <v/>
      </c>
      <c r="E112" s="6" t="n"/>
      <c r="F112" s="6" t="n"/>
      <c r="G112" s="6" t="n"/>
      <c r="H112" s="6" t="n"/>
      <c r="I112" s="10" t="n"/>
      <c r="J112" s="10" t="n"/>
      <c r="K112" s="6" t="n"/>
      <c r="L112" s="6" t="n"/>
      <c r="M112" s="6" t="n"/>
    </row>
    <row r="113">
      <c r="A113" s="7" t="n"/>
      <c r="B113" s="6" t="n"/>
      <c r="C113" s="6" t="n"/>
      <c r="D113">
        <f>IFERROR(VLOOKUP($C113,'CHART OF ACCOUNTS'!$A:$B,2,FALSE),"")</f>
        <v/>
      </c>
      <c r="E113" s="6" t="n"/>
      <c r="F113" s="6" t="n"/>
      <c r="G113" s="6" t="n"/>
      <c r="H113" s="6" t="n"/>
      <c r="I113" s="10" t="n"/>
      <c r="J113" s="10" t="n"/>
      <c r="K113" s="6" t="n"/>
      <c r="L113" s="6" t="n"/>
      <c r="M113" s="6" t="n"/>
    </row>
    <row r="114">
      <c r="A114" s="7" t="n"/>
      <c r="B114" s="6" t="n"/>
      <c r="C114" s="6" t="n"/>
      <c r="D114">
        <f>IFERROR(VLOOKUP($C114,'CHART OF ACCOUNTS'!$A:$B,2,FALSE),"")</f>
        <v/>
      </c>
      <c r="E114" s="6" t="n"/>
      <c r="F114" s="6" t="n"/>
      <c r="G114" s="6" t="n"/>
      <c r="H114" s="6" t="n"/>
      <c r="I114" s="10" t="n"/>
      <c r="J114" s="10" t="n"/>
      <c r="K114" s="6" t="n"/>
      <c r="L114" s="6" t="n"/>
      <c r="M114" s="6" t="n"/>
    </row>
    <row r="115">
      <c r="A115" s="7" t="n"/>
      <c r="B115" s="6" t="n"/>
      <c r="C115" s="6" t="n"/>
      <c r="D115">
        <f>IFERROR(VLOOKUP($C115,'CHART OF ACCOUNTS'!$A:$B,2,FALSE),"")</f>
        <v/>
      </c>
      <c r="E115" s="6" t="n"/>
      <c r="F115" s="6" t="n"/>
      <c r="G115" s="6" t="n"/>
      <c r="H115" s="6" t="n"/>
      <c r="I115" s="10" t="n"/>
      <c r="J115" s="10" t="n"/>
      <c r="K115" s="6" t="n"/>
      <c r="L115" s="6" t="n"/>
      <c r="M115" s="6" t="n"/>
    </row>
    <row r="116">
      <c r="A116" s="7" t="n"/>
      <c r="B116" s="6" t="n"/>
      <c r="C116" s="6" t="n"/>
      <c r="D116">
        <f>IFERROR(VLOOKUP($C116,'CHART OF ACCOUNTS'!$A:$B,2,FALSE),"")</f>
        <v/>
      </c>
      <c r="E116" s="6" t="n"/>
      <c r="F116" s="6" t="n"/>
      <c r="G116" s="6" t="n"/>
      <c r="H116" s="6" t="n"/>
      <c r="I116" s="10" t="n"/>
      <c r="J116" s="10" t="n"/>
      <c r="K116" s="6" t="n"/>
      <c r="L116" s="6" t="n"/>
      <c r="M116" s="6" t="n"/>
    </row>
    <row r="117">
      <c r="A117" s="7" t="n"/>
      <c r="B117" s="6" t="n"/>
      <c r="C117" s="6" t="n"/>
      <c r="D117">
        <f>IFERROR(VLOOKUP($C117,'CHART OF ACCOUNTS'!$A:$B,2,FALSE),"")</f>
        <v/>
      </c>
      <c r="E117" s="6" t="n"/>
      <c r="F117" s="6" t="n"/>
      <c r="G117" s="6" t="n"/>
      <c r="H117" s="6" t="n"/>
      <c r="I117" s="10" t="n"/>
      <c r="J117" s="10" t="n"/>
      <c r="K117" s="6" t="n"/>
      <c r="L117" s="6" t="n"/>
      <c r="M117" s="6" t="n"/>
    </row>
    <row r="118">
      <c r="A118" s="7" t="n"/>
      <c r="B118" s="6" t="n"/>
      <c r="C118" s="6" t="n"/>
      <c r="D118">
        <f>IFERROR(VLOOKUP($C118,'CHART OF ACCOUNTS'!$A:$B,2,FALSE),"")</f>
        <v/>
      </c>
      <c r="E118" s="6" t="n"/>
      <c r="F118" s="6" t="n"/>
      <c r="G118" s="6" t="n"/>
      <c r="H118" s="6" t="n"/>
      <c r="I118" s="10" t="n"/>
      <c r="J118" s="10" t="n"/>
      <c r="K118" s="6" t="n"/>
      <c r="L118" s="6" t="n"/>
      <c r="M118" s="6" t="n"/>
    </row>
    <row r="119">
      <c r="A119" s="7" t="n"/>
      <c r="B119" s="6" t="n"/>
      <c r="C119" s="6" t="n"/>
      <c r="D119">
        <f>IFERROR(VLOOKUP($C119,'CHART OF ACCOUNTS'!$A:$B,2,FALSE),"")</f>
        <v/>
      </c>
      <c r="E119" s="6" t="n"/>
      <c r="F119" s="6" t="n"/>
      <c r="G119" s="6" t="n"/>
      <c r="H119" s="6" t="n"/>
      <c r="I119" s="10" t="n"/>
      <c r="J119" s="10" t="n"/>
      <c r="K119" s="6" t="n"/>
      <c r="L119" s="6" t="n"/>
      <c r="M119" s="6" t="n"/>
    </row>
    <row r="120">
      <c r="A120" s="7" t="n"/>
      <c r="B120" s="6" t="n"/>
      <c r="C120" s="6" t="n"/>
      <c r="D120">
        <f>IFERROR(VLOOKUP($C120,'CHART OF ACCOUNTS'!$A:$B,2,FALSE),"")</f>
        <v/>
      </c>
      <c r="E120" s="6" t="n"/>
      <c r="F120" s="6" t="n"/>
      <c r="G120" s="6" t="n"/>
      <c r="H120" s="6" t="n"/>
      <c r="I120" s="10" t="n"/>
      <c r="J120" s="10" t="n"/>
      <c r="K120" s="6" t="n"/>
      <c r="L120" s="6" t="n"/>
      <c r="M120" s="6" t="n"/>
    </row>
    <row r="121">
      <c r="A121" s="7" t="n"/>
      <c r="B121" s="6" t="n"/>
      <c r="C121" s="6" t="n"/>
      <c r="D121">
        <f>IFERROR(VLOOKUP($C121,'CHART OF ACCOUNTS'!$A:$B,2,FALSE),"")</f>
        <v/>
      </c>
      <c r="E121" s="6" t="n"/>
      <c r="F121" s="6" t="n"/>
      <c r="G121" s="6" t="n"/>
      <c r="H121" s="6" t="n"/>
      <c r="I121" s="10" t="n"/>
      <c r="J121" s="10" t="n"/>
      <c r="K121" s="6" t="n"/>
      <c r="L121" s="6" t="n"/>
      <c r="M121" s="6" t="n"/>
    </row>
    <row r="122">
      <c r="A122" s="7" t="n"/>
      <c r="B122" s="6" t="n"/>
      <c r="C122" s="6" t="n"/>
      <c r="D122">
        <f>IFERROR(VLOOKUP($C122,'CHART OF ACCOUNTS'!$A:$B,2,FALSE),"")</f>
        <v/>
      </c>
      <c r="E122" s="6" t="n"/>
      <c r="F122" s="6" t="n"/>
      <c r="G122" s="6" t="n"/>
      <c r="H122" s="6" t="n"/>
      <c r="I122" s="10" t="n"/>
      <c r="J122" s="10" t="n"/>
      <c r="K122" s="6" t="n"/>
      <c r="L122" s="6" t="n"/>
      <c r="M122" s="6" t="n"/>
    </row>
    <row r="123">
      <c r="A123" s="7" t="n"/>
      <c r="B123" s="6" t="n"/>
      <c r="C123" s="6" t="n"/>
      <c r="D123">
        <f>IFERROR(VLOOKUP($C123,'CHART OF ACCOUNTS'!$A:$B,2,FALSE),"")</f>
        <v/>
      </c>
      <c r="E123" s="6" t="n"/>
      <c r="F123" s="6" t="n"/>
      <c r="G123" s="6" t="n"/>
      <c r="H123" s="6" t="n"/>
      <c r="I123" s="10" t="n"/>
      <c r="J123" s="10" t="n"/>
      <c r="K123" s="6" t="n"/>
      <c r="L123" s="6" t="n"/>
      <c r="M123" s="6" t="n"/>
    </row>
    <row r="124">
      <c r="A124" s="7" t="n"/>
      <c r="B124" s="6" t="n"/>
      <c r="C124" s="6" t="n"/>
      <c r="D124">
        <f>IFERROR(VLOOKUP($C124,'CHART OF ACCOUNTS'!$A:$B,2,FALSE),"")</f>
        <v/>
      </c>
      <c r="E124" s="6" t="n"/>
      <c r="F124" s="6" t="n"/>
      <c r="G124" s="6" t="n"/>
      <c r="H124" s="6" t="n"/>
      <c r="I124" s="10" t="n"/>
      <c r="J124" s="10" t="n"/>
      <c r="K124" s="6" t="n"/>
      <c r="L124" s="6" t="n"/>
      <c r="M124" s="6" t="n"/>
    </row>
    <row r="125">
      <c r="A125" s="7" t="n"/>
      <c r="B125" s="6" t="n"/>
      <c r="C125" s="6" t="n"/>
      <c r="D125">
        <f>IFERROR(VLOOKUP($C125,'CHART OF ACCOUNTS'!$A:$B,2,FALSE),"")</f>
        <v/>
      </c>
      <c r="E125" s="6" t="n"/>
      <c r="F125" s="6" t="n"/>
      <c r="G125" s="6" t="n"/>
      <c r="H125" s="6" t="n"/>
      <c r="I125" s="10" t="n"/>
      <c r="J125" s="10" t="n"/>
      <c r="K125" s="6" t="n"/>
      <c r="L125" s="6" t="n"/>
      <c r="M125" s="6" t="n"/>
    </row>
    <row r="126">
      <c r="A126" s="7" t="n"/>
      <c r="B126" s="6" t="n"/>
      <c r="C126" s="6" t="n"/>
      <c r="D126">
        <f>IFERROR(VLOOKUP($C126,'CHART OF ACCOUNTS'!$A:$B,2,FALSE),"")</f>
        <v/>
      </c>
      <c r="E126" s="6" t="n"/>
      <c r="F126" s="6" t="n"/>
      <c r="G126" s="6" t="n"/>
      <c r="H126" s="6" t="n"/>
      <c r="I126" s="10" t="n"/>
      <c r="J126" s="10" t="n"/>
      <c r="K126" s="6" t="n"/>
      <c r="L126" s="6" t="n"/>
      <c r="M126" s="6" t="n"/>
    </row>
    <row r="127">
      <c r="A127" s="7" t="n"/>
      <c r="B127" s="6" t="n"/>
      <c r="C127" s="6" t="n"/>
      <c r="D127">
        <f>IFERROR(VLOOKUP($C127,'CHART OF ACCOUNTS'!$A:$B,2,FALSE),"")</f>
        <v/>
      </c>
      <c r="E127" s="6" t="n"/>
      <c r="F127" s="6" t="n"/>
      <c r="G127" s="6" t="n"/>
      <c r="H127" s="6" t="n"/>
      <c r="I127" s="10" t="n"/>
      <c r="J127" s="10" t="n"/>
      <c r="K127" s="6" t="n"/>
      <c r="L127" s="6" t="n"/>
      <c r="M127" s="6" t="n"/>
    </row>
    <row r="128">
      <c r="A128" s="7" t="n"/>
      <c r="B128" s="6" t="n"/>
      <c r="C128" s="6" t="n"/>
      <c r="D128">
        <f>IFERROR(VLOOKUP($C128,'CHART OF ACCOUNTS'!$A:$B,2,FALSE),"")</f>
        <v/>
      </c>
      <c r="E128" s="6" t="n"/>
      <c r="F128" s="6" t="n"/>
      <c r="G128" s="6" t="n"/>
      <c r="H128" s="6" t="n"/>
      <c r="I128" s="10" t="n"/>
      <c r="J128" s="10" t="n"/>
      <c r="K128" s="6" t="n"/>
      <c r="L128" s="6" t="n"/>
      <c r="M128" s="6" t="n"/>
    </row>
    <row r="129">
      <c r="A129" s="7" t="n"/>
      <c r="B129" s="6" t="n"/>
      <c r="C129" s="6" t="n"/>
      <c r="D129">
        <f>IFERROR(VLOOKUP($C129,'CHART OF ACCOUNTS'!$A:$B,2,FALSE),"")</f>
        <v/>
      </c>
      <c r="E129" s="6" t="n"/>
      <c r="F129" s="6" t="n"/>
      <c r="G129" s="6" t="n"/>
      <c r="H129" s="6" t="n"/>
      <c r="I129" s="10" t="n"/>
      <c r="J129" s="10" t="n"/>
      <c r="K129" s="6" t="n"/>
      <c r="L129" s="6" t="n"/>
      <c r="M129" s="6" t="n"/>
    </row>
    <row r="130">
      <c r="A130" s="7" t="n"/>
      <c r="B130" s="6" t="n"/>
      <c r="C130" s="6" t="n"/>
      <c r="D130">
        <f>IFERROR(VLOOKUP($C130,'CHART OF ACCOUNTS'!$A:$B,2,FALSE),"")</f>
        <v/>
      </c>
      <c r="E130" s="6" t="n"/>
      <c r="F130" s="6" t="n"/>
      <c r="G130" s="6" t="n"/>
      <c r="H130" s="6" t="n"/>
      <c r="I130" s="10" t="n"/>
      <c r="J130" s="10" t="n"/>
      <c r="K130" s="6" t="n"/>
      <c r="L130" s="6" t="n"/>
      <c r="M130" s="6" t="n"/>
    </row>
    <row r="131">
      <c r="A131" s="7" t="n"/>
      <c r="B131" s="6" t="n"/>
      <c r="C131" s="6" t="n"/>
      <c r="D131">
        <f>IFERROR(VLOOKUP($C131,'CHART OF ACCOUNTS'!$A:$B,2,FALSE),"")</f>
        <v/>
      </c>
      <c r="E131" s="6" t="n"/>
      <c r="F131" s="6" t="n"/>
      <c r="G131" s="6" t="n"/>
      <c r="H131" s="6" t="n"/>
      <c r="I131" s="10" t="n"/>
      <c r="J131" s="10" t="n"/>
      <c r="K131" s="6" t="n"/>
      <c r="L131" s="6" t="n"/>
      <c r="M131" s="6" t="n"/>
    </row>
    <row r="132">
      <c r="A132" s="7" t="n"/>
      <c r="B132" s="6" t="n"/>
      <c r="C132" s="6" t="n"/>
      <c r="D132">
        <f>IFERROR(VLOOKUP($C132,'CHART OF ACCOUNTS'!$A:$B,2,FALSE),"")</f>
        <v/>
      </c>
      <c r="E132" s="6" t="n"/>
      <c r="F132" s="6" t="n"/>
      <c r="G132" s="6" t="n"/>
      <c r="H132" s="6" t="n"/>
      <c r="I132" s="10" t="n"/>
      <c r="J132" s="10" t="n"/>
      <c r="K132" s="6" t="n"/>
      <c r="L132" s="6" t="n"/>
      <c r="M132" s="6" t="n"/>
    </row>
    <row r="133">
      <c r="A133" s="7" t="n"/>
      <c r="B133" s="6" t="n"/>
      <c r="C133" s="6" t="n"/>
      <c r="D133">
        <f>IFERROR(VLOOKUP($C133,'CHART OF ACCOUNTS'!$A:$B,2,FALSE),"")</f>
        <v/>
      </c>
      <c r="E133" s="6" t="n"/>
      <c r="F133" s="6" t="n"/>
      <c r="G133" s="6" t="n"/>
      <c r="H133" s="6" t="n"/>
      <c r="I133" s="10" t="n"/>
      <c r="J133" s="10" t="n"/>
      <c r="K133" s="6" t="n"/>
      <c r="L133" s="6" t="n"/>
      <c r="M133" s="6" t="n"/>
    </row>
    <row r="134">
      <c r="A134" s="7" t="n"/>
      <c r="B134" s="6" t="n"/>
      <c r="C134" s="6" t="n"/>
      <c r="D134">
        <f>IFERROR(VLOOKUP($C134,'CHART OF ACCOUNTS'!$A:$B,2,FALSE),"")</f>
        <v/>
      </c>
      <c r="E134" s="6" t="n"/>
      <c r="F134" s="6" t="n"/>
      <c r="G134" s="6" t="n"/>
      <c r="H134" s="6" t="n"/>
      <c r="I134" s="10" t="n"/>
      <c r="J134" s="10" t="n"/>
      <c r="K134" s="6" t="n"/>
      <c r="L134" s="6" t="n"/>
      <c r="M134" s="6" t="n"/>
    </row>
    <row r="135">
      <c r="A135" s="7" t="n"/>
      <c r="B135" s="6" t="n"/>
      <c r="C135" s="6" t="n"/>
      <c r="D135">
        <f>IFERROR(VLOOKUP($C135,'CHART OF ACCOUNTS'!$A:$B,2,FALSE),"")</f>
        <v/>
      </c>
      <c r="E135" s="6" t="n"/>
      <c r="F135" s="6" t="n"/>
      <c r="G135" s="6" t="n"/>
      <c r="H135" s="6" t="n"/>
      <c r="I135" s="10" t="n"/>
      <c r="J135" s="10" t="n"/>
      <c r="K135" s="6" t="n"/>
      <c r="L135" s="6" t="n"/>
      <c r="M135" s="6" t="n"/>
    </row>
    <row r="136">
      <c r="A136" s="7" t="n"/>
      <c r="B136" s="6" t="n"/>
      <c r="C136" s="6" t="n"/>
      <c r="D136">
        <f>IFERROR(VLOOKUP($C136,'CHART OF ACCOUNTS'!$A:$B,2,FALSE),"")</f>
        <v/>
      </c>
      <c r="E136" s="6" t="n"/>
      <c r="F136" s="6" t="n"/>
      <c r="G136" s="6" t="n"/>
      <c r="H136" s="6" t="n"/>
      <c r="I136" s="10" t="n"/>
      <c r="J136" s="10" t="n"/>
      <c r="K136" s="6" t="n"/>
      <c r="L136" s="6" t="n"/>
      <c r="M136" s="6" t="n"/>
    </row>
    <row r="137">
      <c r="A137" s="7" t="n"/>
      <c r="B137" s="6" t="n"/>
      <c r="C137" s="6" t="n"/>
      <c r="D137">
        <f>IFERROR(VLOOKUP($C137,'CHART OF ACCOUNTS'!$A:$B,2,FALSE),"")</f>
        <v/>
      </c>
      <c r="E137" s="6" t="n"/>
      <c r="F137" s="6" t="n"/>
      <c r="G137" s="6" t="n"/>
      <c r="H137" s="6" t="n"/>
      <c r="I137" s="10" t="n"/>
      <c r="J137" s="10" t="n"/>
      <c r="K137" s="6" t="n"/>
      <c r="L137" s="6" t="n"/>
      <c r="M137" s="6" t="n"/>
    </row>
    <row r="138">
      <c r="A138" s="7" t="n"/>
      <c r="B138" s="6" t="n"/>
      <c r="C138" s="6" t="n"/>
      <c r="D138">
        <f>IFERROR(VLOOKUP($C138,'CHART OF ACCOUNTS'!$A:$B,2,FALSE),"")</f>
        <v/>
      </c>
      <c r="E138" s="6" t="n"/>
      <c r="F138" s="6" t="n"/>
      <c r="G138" s="6" t="n"/>
      <c r="H138" s="6" t="n"/>
      <c r="I138" s="10" t="n"/>
      <c r="J138" s="10" t="n"/>
      <c r="K138" s="6" t="n"/>
      <c r="L138" s="6" t="n"/>
      <c r="M138" s="6" t="n"/>
    </row>
    <row r="139">
      <c r="A139" s="7" t="n"/>
      <c r="B139" s="6" t="n"/>
      <c r="C139" s="6" t="n"/>
      <c r="D139">
        <f>IFERROR(VLOOKUP($C139,'CHART OF ACCOUNTS'!$A:$B,2,FALSE),"")</f>
        <v/>
      </c>
      <c r="E139" s="6" t="n"/>
      <c r="F139" s="6" t="n"/>
      <c r="G139" s="6" t="n"/>
      <c r="H139" s="6" t="n"/>
      <c r="I139" s="10" t="n"/>
      <c r="J139" s="10" t="n"/>
      <c r="K139" s="6" t="n"/>
      <c r="L139" s="6" t="n"/>
      <c r="M139" s="6" t="n"/>
    </row>
    <row r="140">
      <c r="A140" s="7" t="n"/>
      <c r="B140" s="6" t="n"/>
      <c r="C140" s="6" t="n"/>
      <c r="D140">
        <f>IFERROR(VLOOKUP($C140,'CHART OF ACCOUNTS'!$A:$B,2,FALSE),"")</f>
        <v/>
      </c>
      <c r="E140" s="6" t="n"/>
      <c r="F140" s="6" t="n"/>
      <c r="G140" s="6" t="n"/>
      <c r="H140" s="6" t="n"/>
      <c r="I140" s="10" t="n"/>
      <c r="J140" s="10" t="n"/>
      <c r="K140" s="6" t="n"/>
      <c r="L140" s="6" t="n"/>
      <c r="M140" s="6" t="n"/>
    </row>
    <row r="141">
      <c r="A141" s="7" t="n"/>
      <c r="B141" s="6" t="n"/>
      <c r="C141" s="6" t="n"/>
      <c r="D141">
        <f>IFERROR(VLOOKUP($C141,'CHART OF ACCOUNTS'!$A:$B,2,FALSE),"")</f>
        <v/>
      </c>
      <c r="E141" s="6" t="n"/>
      <c r="F141" s="6" t="n"/>
      <c r="G141" s="6" t="n"/>
      <c r="H141" s="6" t="n"/>
      <c r="I141" s="10" t="n"/>
      <c r="J141" s="10" t="n"/>
      <c r="K141" s="6" t="n"/>
      <c r="L141" s="6" t="n"/>
      <c r="M141" s="6" t="n"/>
    </row>
    <row r="142">
      <c r="A142" s="7" t="n"/>
      <c r="B142" s="6" t="n"/>
      <c r="C142" s="6" t="n"/>
      <c r="D142">
        <f>IFERROR(VLOOKUP($C142,'CHART OF ACCOUNTS'!$A:$B,2,FALSE),"")</f>
        <v/>
      </c>
      <c r="E142" s="6" t="n"/>
      <c r="F142" s="6" t="n"/>
      <c r="G142" s="6" t="n"/>
      <c r="H142" s="6" t="n"/>
      <c r="I142" s="10" t="n"/>
      <c r="J142" s="10" t="n"/>
      <c r="K142" s="6" t="n"/>
      <c r="L142" s="6" t="n"/>
      <c r="M142" s="6" t="n"/>
    </row>
    <row r="143">
      <c r="A143" s="7" t="n"/>
      <c r="B143" s="6" t="n"/>
      <c r="C143" s="6" t="n"/>
      <c r="D143">
        <f>IFERROR(VLOOKUP($C143,'CHART OF ACCOUNTS'!$A:$B,2,FALSE),"")</f>
        <v/>
      </c>
      <c r="E143" s="6" t="n"/>
      <c r="F143" s="6" t="n"/>
      <c r="G143" s="6" t="n"/>
      <c r="H143" s="6" t="n"/>
      <c r="I143" s="10" t="n"/>
      <c r="J143" s="10" t="n"/>
      <c r="K143" s="6" t="n"/>
      <c r="L143" s="6" t="n"/>
      <c r="M143" s="6" t="n"/>
    </row>
    <row r="144">
      <c r="A144" s="7" t="n"/>
      <c r="B144" s="6" t="n"/>
      <c r="C144" s="6" t="n"/>
      <c r="D144">
        <f>IFERROR(VLOOKUP($C144,'CHART OF ACCOUNTS'!$A:$B,2,FALSE),"")</f>
        <v/>
      </c>
      <c r="E144" s="6" t="n"/>
      <c r="F144" s="6" t="n"/>
      <c r="G144" s="6" t="n"/>
      <c r="H144" s="6" t="n"/>
      <c r="I144" s="10" t="n"/>
      <c r="J144" s="10" t="n"/>
      <c r="K144" s="6" t="n"/>
      <c r="L144" s="6" t="n"/>
      <c r="M144" s="6" t="n"/>
    </row>
    <row r="145">
      <c r="A145" s="7" t="n"/>
      <c r="B145" s="6" t="n"/>
      <c r="C145" s="6" t="n"/>
      <c r="D145">
        <f>IFERROR(VLOOKUP($C145,'CHART OF ACCOUNTS'!$A:$B,2,FALSE),"")</f>
        <v/>
      </c>
      <c r="E145" s="6" t="n"/>
      <c r="F145" s="6" t="n"/>
      <c r="G145" s="6" t="n"/>
      <c r="H145" s="6" t="n"/>
      <c r="I145" s="10" t="n"/>
      <c r="J145" s="10" t="n"/>
      <c r="K145" s="6" t="n"/>
      <c r="L145" s="6" t="n"/>
      <c r="M145" s="6" t="n"/>
    </row>
    <row r="146">
      <c r="A146" s="7" t="n"/>
      <c r="B146" s="6" t="n"/>
      <c r="C146" s="6" t="n"/>
      <c r="D146">
        <f>IFERROR(VLOOKUP($C146,'CHART OF ACCOUNTS'!$A:$B,2,FALSE),"")</f>
        <v/>
      </c>
      <c r="E146" s="6" t="n"/>
      <c r="F146" s="6" t="n"/>
      <c r="G146" s="6" t="n"/>
      <c r="H146" s="6" t="n"/>
      <c r="I146" s="10" t="n"/>
      <c r="J146" s="10" t="n"/>
      <c r="K146" s="6" t="n"/>
      <c r="L146" s="6" t="n"/>
      <c r="M146" s="6" t="n"/>
    </row>
    <row r="147">
      <c r="A147" s="7" t="n"/>
      <c r="B147" s="6" t="n"/>
      <c r="C147" s="6" t="n"/>
      <c r="D147">
        <f>IFERROR(VLOOKUP($C147,'CHART OF ACCOUNTS'!$A:$B,2,FALSE),"")</f>
        <v/>
      </c>
      <c r="E147" s="6" t="n"/>
      <c r="F147" s="6" t="n"/>
      <c r="G147" s="6" t="n"/>
      <c r="H147" s="6" t="n"/>
      <c r="I147" s="10" t="n"/>
      <c r="J147" s="10" t="n"/>
      <c r="K147" s="6" t="n"/>
      <c r="L147" s="6" t="n"/>
      <c r="M147" s="6" t="n"/>
    </row>
    <row r="148">
      <c r="A148" s="7" t="n"/>
      <c r="B148" s="6" t="n"/>
      <c r="C148" s="6" t="n"/>
      <c r="D148">
        <f>IFERROR(VLOOKUP($C148,'CHART OF ACCOUNTS'!$A:$B,2,FALSE),"")</f>
        <v/>
      </c>
      <c r="E148" s="6" t="n"/>
      <c r="F148" s="6" t="n"/>
      <c r="G148" s="6" t="n"/>
      <c r="H148" s="6" t="n"/>
      <c r="I148" s="10" t="n"/>
      <c r="J148" s="10" t="n"/>
      <c r="K148" s="6" t="n"/>
      <c r="L148" s="6" t="n"/>
      <c r="M148" s="6" t="n"/>
    </row>
    <row r="149">
      <c r="A149" s="7" t="n"/>
      <c r="B149" s="6" t="n"/>
      <c r="C149" s="6" t="n"/>
      <c r="D149">
        <f>IFERROR(VLOOKUP($C149,'CHART OF ACCOUNTS'!$A:$B,2,FALSE),"")</f>
        <v/>
      </c>
      <c r="E149" s="6" t="n"/>
      <c r="F149" s="6" t="n"/>
      <c r="G149" s="6" t="n"/>
      <c r="H149" s="6" t="n"/>
      <c r="I149" s="10" t="n"/>
      <c r="J149" s="10" t="n"/>
      <c r="K149" s="6" t="n"/>
      <c r="L149" s="6" t="n"/>
      <c r="M149" s="6" t="n"/>
    </row>
    <row r="150">
      <c r="A150" s="7" t="n"/>
      <c r="B150" s="6" t="n"/>
      <c r="C150" s="6" t="n"/>
      <c r="D150">
        <f>IFERROR(VLOOKUP($C150,'CHART OF ACCOUNTS'!$A:$B,2,FALSE),"")</f>
        <v/>
      </c>
      <c r="E150" s="6" t="n"/>
      <c r="F150" s="6" t="n"/>
      <c r="G150" s="6" t="n"/>
      <c r="H150" s="6" t="n"/>
      <c r="I150" s="10" t="n"/>
      <c r="J150" s="10" t="n"/>
      <c r="K150" s="6" t="n"/>
      <c r="L150" s="6" t="n"/>
      <c r="M150" s="6" t="n"/>
    </row>
    <row r="151">
      <c r="A151" s="7" t="n"/>
      <c r="B151" s="6" t="n"/>
      <c r="C151" s="6" t="n"/>
      <c r="D151">
        <f>IFERROR(VLOOKUP($C151,'CHART OF ACCOUNTS'!$A:$B,2,FALSE),"")</f>
        <v/>
      </c>
      <c r="E151" s="6" t="n"/>
      <c r="F151" s="6" t="n"/>
      <c r="G151" s="6" t="n"/>
      <c r="H151" s="6" t="n"/>
      <c r="I151" s="10" t="n"/>
      <c r="J151" s="10" t="n"/>
      <c r="K151" s="6" t="n"/>
      <c r="L151" s="6" t="n"/>
      <c r="M151" s="6" t="n"/>
    </row>
    <row r="152">
      <c r="A152" s="7" t="n"/>
      <c r="B152" s="6" t="n"/>
      <c r="C152" s="6" t="n"/>
      <c r="D152">
        <f>IFERROR(VLOOKUP($C152,'CHART OF ACCOUNTS'!$A:$B,2,FALSE),"")</f>
        <v/>
      </c>
      <c r="E152" s="6" t="n"/>
      <c r="F152" s="6" t="n"/>
      <c r="G152" s="6" t="n"/>
      <c r="H152" s="6" t="n"/>
      <c r="I152" s="10" t="n"/>
      <c r="J152" s="10" t="n"/>
      <c r="K152" s="6" t="n"/>
      <c r="L152" s="6" t="n"/>
      <c r="M152" s="6" t="n"/>
    </row>
    <row r="153">
      <c r="A153" s="7" t="n"/>
      <c r="B153" s="6" t="n"/>
      <c r="C153" s="6" t="n"/>
      <c r="D153">
        <f>IFERROR(VLOOKUP($C153,'CHART OF ACCOUNTS'!$A:$B,2,FALSE),"")</f>
        <v/>
      </c>
      <c r="E153" s="6" t="n"/>
      <c r="F153" s="6" t="n"/>
      <c r="G153" s="6" t="n"/>
      <c r="H153" s="6" t="n"/>
      <c r="I153" s="10" t="n"/>
      <c r="J153" s="10" t="n"/>
      <c r="K153" s="6" t="n"/>
      <c r="L153" s="6" t="n"/>
      <c r="M153" s="6" t="n"/>
    </row>
    <row r="154">
      <c r="A154" s="7" t="n"/>
      <c r="B154" s="6" t="n"/>
      <c r="C154" s="6" t="n"/>
      <c r="D154">
        <f>IFERROR(VLOOKUP($C154,'CHART OF ACCOUNTS'!$A:$B,2,FALSE),"")</f>
        <v/>
      </c>
      <c r="E154" s="6" t="n"/>
      <c r="F154" s="6" t="n"/>
      <c r="G154" s="6" t="n"/>
      <c r="H154" s="6" t="n"/>
      <c r="I154" s="10" t="n"/>
      <c r="J154" s="10" t="n"/>
      <c r="K154" s="6" t="n"/>
      <c r="L154" s="6" t="n"/>
      <c r="M154" s="6" t="n"/>
    </row>
    <row r="155">
      <c r="A155" s="7" t="n"/>
      <c r="B155" s="6" t="n"/>
      <c r="C155" s="6" t="n"/>
      <c r="D155">
        <f>IFERROR(VLOOKUP($C155,'CHART OF ACCOUNTS'!$A:$B,2,FALSE),"")</f>
        <v/>
      </c>
      <c r="E155" s="6" t="n"/>
      <c r="F155" s="6" t="n"/>
      <c r="G155" s="6" t="n"/>
      <c r="H155" s="6" t="n"/>
      <c r="I155" s="10" t="n"/>
      <c r="J155" s="10" t="n"/>
      <c r="K155" s="6" t="n"/>
      <c r="L155" s="6" t="n"/>
      <c r="M155" s="6" t="n"/>
    </row>
    <row r="156">
      <c r="A156" s="7" t="n"/>
      <c r="B156" s="6" t="n"/>
      <c r="C156" s="6" t="n"/>
      <c r="D156">
        <f>IFERROR(VLOOKUP($C156,'CHART OF ACCOUNTS'!$A:$B,2,FALSE),"")</f>
        <v/>
      </c>
      <c r="E156" s="6" t="n"/>
      <c r="F156" s="6" t="n"/>
      <c r="G156" s="6" t="n"/>
      <c r="H156" s="6" t="n"/>
      <c r="I156" s="10" t="n"/>
      <c r="J156" s="10" t="n"/>
      <c r="K156" s="6" t="n"/>
      <c r="L156" s="6" t="n"/>
      <c r="M156" s="6" t="n"/>
    </row>
    <row r="157">
      <c r="A157" s="7" t="n"/>
      <c r="B157" s="6" t="n"/>
      <c r="C157" s="6" t="n"/>
      <c r="D157">
        <f>IFERROR(VLOOKUP($C157,'CHART OF ACCOUNTS'!$A:$B,2,FALSE),"")</f>
        <v/>
      </c>
      <c r="E157" s="6" t="n"/>
      <c r="F157" s="6" t="n"/>
      <c r="G157" s="6" t="n"/>
      <c r="H157" s="6" t="n"/>
      <c r="I157" s="10" t="n"/>
      <c r="J157" s="10" t="n"/>
      <c r="K157" s="6" t="n"/>
      <c r="L157" s="6" t="n"/>
      <c r="M157" s="6" t="n"/>
    </row>
    <row r="158">
      <c r="A158" s="7" t="n"/>
      <c r="B158" s="6" t="n"/>
      <c r="C158" s="6" t="n"/>
      <c r="D158">
        <f>IFERROR(VLOOKUP($C158,'CHART OF ACCOUNTS'!$A:$B,2,FALSE),"")</f>
        <v/>
      </c>
      <c r="E158" s="6" t="n"/>
      <c r="F158" s="6" t="n"/>
      <c r="G158" s="6" t="n"/>
      <c r="H158" s="6" t="n"/>
      <c r="I158" s="10" t="n"/>
      <c r="J158" s="10" t="n"/>
      <c r="K158" s="6" t="n"/>
      <c r="L158" s="6" t="n"/>
      <c r="M158" s="6" t="n"/>
    </row>
    <row r="159">
      <c r="A159" s="7" t="n"/>
      <c r="B159" s="6" t="n"/>
      <c r="C159" s="6" t="n"/>
      <c r="D159">
        <f>IFERROR(VLOOKUP($C159,'CHART OF ACCOUNTS'!$A:$B,2,FALSE),"")</f>
        <v/>
      </c>
      <c r="E159" s="6" t="n"/>
      <c r="F159" s="6" t="n"/>
      <c r="G159" s="6" t="n"/>
      <c r="H159" s="6" t="n"/>
      <c r="I159" s="10" t="n"/>
      <c r="J159" s="10" t="n"/>
      <c r="K159" s="6" t="n"/>
      <c r="L159" s="6" t="n"/>
      <c r="M159" s="6" t="n"/>
    </row>
    <row r="160">
      <c r="A160" s="7" t="n"/>
      <c r="B160" s="6" t="n"/>
      <c r="C160" s="6" t="n"/>
      <c r="D160">
        <f>IFERROR(VLOOKUP($C160,'CHART OF ACCOUNTS'!$A:$B,2,FALSE),"")</f>
        <v/>
      </c>
      <c r="E160" s="6" t="n"/>
      <c r="F160" s="6" t="n"/>
      <c r="G160" s="6" t="n"/>
      <c r="H160" s="6" t="n"/>
      <c r="I160" s="10" t="n"/>
      <c r="J160" s="10" t="n"/>
      <c r="K160" s="6" t="n"/>
      <c r="L160" s="6" t="n"/>
      <c r="M160" s="6" t="n"/>
    </row>
    <row r="161">
      <c r="A161" s="7" t="n"/>
      <c r="B161" s="6" t="n"/>
      <c r="C161" s="6" t="n"/>
      <c r="D161">
        <f>IFERROR(VLOOKUP($C161,'CHART OF ACCOUNTS'!$A:$B,2,FALSE),"")</f>
        <v/>
      </c>
      <c r="E161" s="6" t="n"/>
      <c r="F161" s="6" t="n"/>
      <c r="G161" s="6" t="n"/>
      <c r="H161" s="6" t="n"/>
      <c r="I161" s="10" t="n"/>
      <c r="J161" s="10" t="n"/>
      <c r="K161" s="6" t="n"/>
      <c r="L161" s="6" t="n"/>
      <c r="M161" s="6" t="n"/>
    </row>
    <row r="162">
      <c r="A162" s="7" t="n"/>
      <c r="B162" s="6" t="n"/>
      <c r="C162" s="6" t="n"/>
      <c r="D162">
        <f>IFERROR(VLOOKUP($C162,'CHART OF ACCOUNTS'!$A:$B,2,FALSE),"")</f>
        <v/>
      </c>
      <c r="E162" s="6" t="n"/>
      <c r="F162" s="6" t="n"/>
      <c r="G162" s="6" t="n"/>
      <c r="H162" s="6" t="n"/>
      <c r="I162" s="10" t="n"/>
      <c r="J162" s="10" t="n"/>
      <c r="K162" s="6" t="n"/>
      <c r="L162" s="6" t="n"/>
      <c r="M162" s="6" t="n"/>
    </row>
    <row r="163">
      <c r="A163" s="7" t="n"/>
      <c r="B163" s="6" t="n"/>
      <c r="C163" s="6" t="n"/>
      <c r="D163">
        <f>IFERROR(VLOOKUP($C163,'CHART OF ACCOUNTS'!$A:$B,2,FALSE),"")</f>
        <v/>
      </c>
      <c r="E163" s="6" t="n"/>
      <c r="F163" s="6" t="n"/>
      <c r="G163" s="6" t="n"/>
      <c r="H163" s="6" t="n"/>
      <c r="I163" s="10" t="n"/>
      <c r="J163" s="10" t="n"/>
      <c r="K163" s="6" t="n"/>
      <c r="L163" s="6" t="n"/>
      <c r="M163" s="6" t="n"/>
    </row>
    <row r="164">
      <c r="A164" s="7" t="n"/>
      <c r="B164" s="6" t="n"/>
      <c r="C164" s="6" t="n"/>
      <c r="D164">
        <f>IFERROR(VLOOKUP($C164,'CHART OF ACCOUNTS'!$A:$B,2,FALSE),"")</f>
        <v/>
      </c>
      <c r="E164" s="6" t="n"/>
      <c r="F164" s="6" t="n"/>
      <c r="G164" s="6" t="n"/>
      <c r="H164" s="6" t="n"/>
      <c r="I164" s="10" t="n"/>
      <c r="J164" s="10" t="n"/>
      <c r="K164" s="6" t="n"/>
      <c r="L164" s="6" t="n"/>
      <c r="M164" s="6" t="n"/>
    </row>
    <row r="165">
      <c r="A165" s="7" t="n"/>
      <c r="B165" s="6" t="n"/>
      <c r="C165" s="6" t="n"/>
      <c r="D165">
        <f>IFERROR(VLOOKUP($C165,'CHART OF ACCOUNTS'!$A:$B,2,FALSE),"")</f>
        <v/>
      </c>
      <c r="E165" s="6" t="n"/>
      <c r="F165" s="6" t="n"/>
      <c r="G165" s="6" t="n"/>
      <c r="H165" s="6" t="n"/>
      <c r="I165" s="10" t="n"/>
      <c r="J165" s="10" t="n"/>
      <c r="K165" s="6" t="n"/>
      <c r="L165" s="6" t="n"/>
      <c r="M165" s="6" t="n"/>
    </row>
    <row r="166">
      <c r="A166" s="7" t="n"/>
      <c r="B166" s="6" t="n"/>
      <c r="C166" s="6" t="n"/>
      <c r="D166">
        <f>IFERROR(VLOOKUP($C166,'CHART OF ACCOUNTS'!$A:$B,2,FALSE),"")</f>
        <v/>
      </c>
      <c r="E166" s="6" t="n"/>
      <c r="F166" s="6" t="n"/>
      <c r="G166" s="6" t="n"/>
      <c r="H166" s="6" t="n"/>
      <c r="I166" s="10" t="n"/>
      <c r="J166" s="10" t="n"/>
      <c r="K166" s="6" t="n"/>
      <c r="L166" s="6" t="n"/>
      <c r="M166" s="6" t="n"/>
    </row>
    <row r="167">
      <c r="A167" s="7" t="n"/>
      <c r="B167" s="6" t="n"/>
      <c r="C167" s="6" t="n"/>
      <c r="D167">
        <f>IFERROR(VLOOKUP($C167,'CHART OF ACCOUNTS'!$A:$B,2,FALSE),"")</f>
        <v/>
      </c>
      <c r="E167" s="6" t="n"/>
      <c r="F167" s="6" t="n"/>
      <c r="G167" s="6" t="n"/>
      <c r="H167" s="6" t="n"/>
      <c r="I167" s="10" t="n"/>
      <c r="J167" s="10" t="n"/>
      <c r="K167" s="6" t="n"/>
      <c r="L167" s="6" t="n"/>
      <c r="M167" s="6" t="n"/>
    </row>
    <row r="168">
      <c r="A168" s="7" t="n"/>
      <c r="B168" s="6" t="n"/>
      <c r="C168" s="6" t="n"/>
      <c r="D168">
        <f>IFERROR(VLOOKUP($C168,'CHART OF ACCOUNTS'!$A:$B,2,FALSE),"")</f>
        <v/>
      </c>
      <c r="E168" s="6" t="n"/>
      <c r="F168" s="6" t="n"/>
      <c r="G168" s="6" t="n"/>
      <c r="H168" s="6" t="n"/>
      <c r="I168" s="10" t="n"/>
      <c r="J168" s="10" t="n"/>
      <c r="K168" s="6" t="n"/>
      <c r="L168" s="6" t="n"/>
      <c r="M168" s="6" t="n"/>
    </row>
    <row r="169">
      <c r="A169" s="7" t="n"/>
      <c r="B169" s="6" t="n"/>
      <c r="C169" s="6" t="n"/>
      <c r="D169">
        <f>IFERROR(VLOOKUP($C169,'CHART OF ACCOUNTS'!$A:$B,2,FALSE),"")</f>
        <v/>
      </c>
      <c r="E169" s="6" t="n"/>
      <c r="F169" s="6" t="n"/>
      <c r="G169" s="6" t="n"/>
      <c r="H169" s="6" t="n"/>
      <c r="I169" s="10" t="n"/>
      <c r="J169" s="10" t="n"/>
      <c r="K169" s="6" t="n"/>
      <c r="L169" s="6" t="n"/>
      <c r="M169" s="6" t="n"/>
    </row>
    <row r="170">
      <c r="A170" s="7" t="n"/>
      <c r="B170" s="6" t="n"/>
      <c r="C170" s="6" t="n"/>
      <c r="D170">
        <f>IFERROR(VLOOKUP($C170,'CHART OF ACCOUNTS'!$A:$B,2,FALSE),"")</f>
        <v/>
      </c>
      <c r="E170" s="6" t="n"/>
      <c r="F170" s="6" t="n"/>
      <c r="G170" s="6" t="n"/>
      <c r="H170" s="6" t="n"/>
      <c r="I170" s="10" t="n"/>
      <c r="J170" s="10" t="n"/>
      <c r="K170" s="6" t="n"/>
      <c r="L170" s="6" t="n"/>
      <c r="M170" s="6" t="n"/>
    </row>
    <row r="171">
      <c r="A171" s="7" t="n"/>
      <c r="B171" s="6" t="n"/>
      <c r="C171" s="6" t="n"/>
      <c r="D171">
        <f>IFERROR(VLOOKUP($C171,'CHART OF ACCOUNTS'!$A:$B,2,FALSE),"")</f>
        <v/>
      </c>
      <c r="E171" s="6" t="n"/>
      <c r="F171" s="6" t="n"/>
      <c r="G171" s="6" t="n"/>
      <c r="H171" s="6" t="n"/>
      <c r="I171" s="10" t="n"/>
      <c r="J171" s="10" t="n"/>
      <c r="K171" s="6" t="n"/>
      <c r="L171" s="6" t="n"/>
      <c r="M171" s="6" t="n"/>
    </row>
    <row r="172">
      <c r="A172" s="7" t="n"/>
      <c r="B172" s="6" t="n"/>
      <c r="C172" s="6" t="n"/>
      <c r="D172">
        <f>IFERROR(VLOOKUP($C172,'CHART OF ACCOUNTS'!$A:$B,2,FALSE),"")</f>
        <v/>
      </c>
      <c r="E172" s="6" t="n"/>
      <c r="F172" s="6" t="n"/>
      <c r="G172" s="6" t="n"/>
      <c r="H172" s="6" t="n"/>
      <c r="I172" s="10" t="n"/>
      <c r="J172" s="10" t="n"/>
      <c r="K172" s="6" t="n"/>
      <c r="L172" s="6" t="n"/>
      <c r="M172" s="6" t="n"/>
    </row>
    <row r="173">
      <c r="A173" s="7" t="n"/>
      <c r="B173" s="6" t="n"/>
      <c r="C173" s="6" t="n"/>
      <c r="D173">
        <f>IFERROR(VLOOKUP($C173,'CHART OF ACCOUNTS'!$A:$B,2,FALSE),"")</f>
        <v/>
      </c>
      <c r="E173" s="6" t="n"/>
      <c r="F173" s="6" t="n"/>
      <c r="G173" s="6" t="n"/>
      <c r="H173" s="6" t="n"/>
      <c r="I173" s="10" t="n"/>
      <c r="J173" s="10" t="n"/>
      <c r="K173" s="6" t="n"/>
      <c r="L173" s="6" t="n"/>
      <c r="M173" s="6" t="n"/>
    </row>
    <row r="174">
      <c r="A174" s="7" t="n"/>
      <c r="B174" s="6" t="n"/>
      <c r="C174" s="6" t="n"/>
      <c r="D174">
        <f>IFERROR(VLOOKUP($C174,'CHART OF ACCOUNTS'!$A:$B,2,FALSE),"")</f>
        <v/>
      </c>
      <c r="E174" s="6" t="n"/>
      <c r="F174" s="6" t="n"/>
      <c r="G174" s="6" t="n"/>
      <c r="H174" s="6" t="n"/>
      <c r="I174" s="10" t="n"/>
      <c r="J174" s="10" t="n"/>
      <c r="K174" s="6" t="n"/>
      <c r="L174" s="6" t="n"/>
      <c r="M174" s="6" t="n"/>
    </row>
    <row r="175">
      <c r="A175" s="7" t="n"/>
      <c r="B175" s="6" t="n"/>
      <c r="C175" s="6" t="n"/>
      <c r="D175">
        <f>IFERROR(VLOOKUP($C175,'CHART OF ACCOUNTS'!$A:$B,2,FALSE),"")</f>
        <v/>
      </c>
      <c r="E175" s="6" t="n"/>
      <c r="F175" s="6" t="n"/>
      <c r="G175" s="6" t="n"/>
      <c r="H175" s="6" t="n"/>
      <c r="I175" s="10" t="n"/>
      <c r="J175" s="10" t="n"/>
      <c r="K175" s="6" t="n"/>
      <c r="L175" s="6" t="n"/>
      <c r="M175" s="6" t="n"/>
    </row>
    <row r="176">
      <c r="A176" s="7" t="n"/>
      <c r="B176" s="6" t="n"/>
      <c r="C176" s="6" t="n"/>
      <c r="D176">
        <f>IFERROR(VLOOKUP($C176,'CHART OF ACCOUNTS'!$A:$B,2,FALSE),"")</f>
        <v/>
      </c>
      <c r="E176" s="6" t="n"/>
      <c r="F176" s="6" t="n"/>
      <c r="G176" s="6" t="n"/>
      <c r="H176" s="6" t="n"/>
      <c r="I176" s="10" t="n"/>
      <c r="J176" s="10" t="n"/>
      <c r="K176" s="6" t="n"/>
      <c r="L176" s="6" t="n"/>
      <c r="M176" s="6" t="n"/>
    </row>
    <row r="177">
      <c r="A177" s="7" t="n"/>
      <c r="B177" s="6" t="n"/>
      <c r="C177" s="6" t="n"/>
      <c r="D177">
        <f>IFERROR(VLOOKUP($C177,'CHART OF ACCOUNTS'!$A:$B,2,FALSE),"")</f>
        <v/>
      </c>
      <c r="E177" s="6" t="n"/>
      <c r="F177" s="6" t="n"/>
      <c r="G177" s="6" t="n"/>
      <c r="H177" s="6" t="n"/>
      <c r="I177" s="10" t="n"/>
      <c r="J177" s="10" t="n"/>
      <c r="K177" s="6" t="n"/>
      <c r="L177" s="6" t="n"/>
      <c r="M177" s="6" t="n"/>
    </row>
    <row r="178">
      <c r="A178" s="7" t="n"/>
      <c r="B178" s="6" t="n"/>
      <c r="C178" s="6" t="n"/>
      <c r="D178">
        <f>IFERROR(VLOOKUP($C178,'CHART OF ACCOUNTS'!$A:$B,2,FALSE),"")</f>
        <v/>
      </c>
      <c r="E178" s="6" t="n"/>
      <c r="F178" s="6" t="n"/>
      <c r="G178" s="6" t="n"/>
      <c r="H178" s="6" t="n"/>
      <c r="I178" s="10" t="n"/>
      <c r="J178" s="10" t="n"/>
      <c r="K178" s="6" t="n"/>
      <c r="L178" s="6" t="n"/>
      <c r="M178" s="6" t="n"/>
    </row>
    <row r="179">
      <c r="A179" s="7" t="n"/>
      <c r="B179" s="6" t="n"/>
      <c r="C179" s="6" t="n"/>
      <c r="D179">
        <f>IFERROR(VLOOKUP($C179,'CHART OF ACCOUNTS'!$A:$B,2,FALSE),"")</f>
        <v/>
      </c>
      <c r="E179" s="6" t="n"/>
      <c r="F179" s="6" t="n"/>
      <c r="G179" s="6" t="n"/>
      <c r="H179" s="6" t="n"/>
      <c r="I179" s="10" t="n"/>
      <c r="J179" s="10" t="n"/>
      <c r="K179" s="6" t="n"/>
      <c r="L179" s="6" t="n"/>
      <c r="M179" s="6" t="n"/>
    </row>
    <row r="180">
      <c r="A180" s="7" t="n"/>
      <c r="B180" s="6" t="n"/>
      <c r="C180" s="6" t="n"/>
      <c r="D180">
        <f>IFERROR(VLOOKUP($C180,'CHART OF ACCOUNTS'!$A:$B,2,FALSE),"")</f>
        <v/>
      </c>
      <c r="E180" s="6" t="n"/>
      <c r="F180" s="6" t="n"/>
      <c r="G180" s="6" t="n"/>
      <c r="H180" s="6" t="n"/>
      <c r="I180" s="10" t="n"/>
      <c r="J180" s="10" t="n"/>
      <c r="K180" s="6" t="n"/>
      <c r="L180" s="6" t="n"/>
      <c r="M180" s="6" t="n"/>
    </row>
    <row r="181">
      <c r="A181" s="7" t="n"/>
      <c r="B181" s="6" t="n"/>
      <c r="C181" s="6" t="n"/>
      <c r="D181">
        <f>IFERROR(VLOOKUP($C181,'CHART OF ACCOUNTS'!$A:$B,2,FALSE),"")</f>
        <v/>
      </c>
      <c r="E181" s="6" t="n"/>
      <c r="F181" s="6" t="n"/>
      <c r="G181" s="6" t="n"/>
      <c r="H181" s="6" t="n"/>
      <c r="I181" s="10" t="n"/>
      <c r="J181" s="10" t="n"/>
      <c r="K181" s="6" t="n"/>
      <c r="L181" s="6" t="n"/>
      <c r="M181" s="6" t="n"/>
    </row>
    <row r="182">
      <c r="A182" s="7" t="n"/>
      <c r="B182" s="6" t="n"/>
      <c r="C182" s="6" t="n"/>
      <c r="D182">
        <f>IFERROR(VLOOKUP($C182,'CHART OF ACCOUNTS'!$A:$B,2,FALSE),"")</f>
        <v/>
      </c>
      <c r="E182" s="6" t="n"/>
      <c r="F182" s="6" t="n"/>
      <c r="G182" s="6" t="n"/>
      <c r="H182" s="6" t="n"/>
      <c r="I182" s="10" t="n"/>
      <c r="J182" s="10" t="n"/>
      <c r="K182" s="6" t="n"/>
      <c r="L182" s="6" t="n"/>
      <c r="M182" s="6" t="n"/>
    </row>
    <row r="183">
      <c r="A183" s="7" t="n"/>
      <c r="B183" s="6" t="n"/>
      <c r="C183" s="6" t="n"/>
      <c r="D183">
        <f>IFERROR(VLOOKUP($C183,'CHART OF ACCOUNTS'!$A:$B,2,FALSE),"")</f>
        <v/>
      </c>
      <c r="E183" s="6" t="n"/>
      <c r="F183" s="6" t="n"/>
      <c r="G183" s="6" t="n"/>
      <c r="H183" s="6" t="n"/>
      <c r="I183" s="10" t="n"/>
      <c r="J183" s="10" t="n"/>
      <c r="K183" s="6" t="n"/>
      <c r="L183" s="6" t="n"/>
      <c r="M183" s="6" t="n"/>
    </row>
    <row r="184">
      <c r="A184" s="7" t="n"/>
      <c r="B184" s="6" t="n"/>
      <c r="C184" s="6" t="n"/>
      <c r="D184">
        <f>IFERROR(VLOOKUP($C184,'CHART OF ACCOUNTS'!$A:$B,2,FALSE),"")</f>
        <v/>
      </c>
      <c r="E184" s="6" t="n"/>
      <c r="F184" s="6" t="n"/>
      <c r="G184" s="6" t="n"/>
      <c r="H184" s="6" t="n"/>
      <c r="I184" s="10" t="n"/>
      <c r="J184" s="10" t="n"/>
      <c r="K184" s="6" t="n"/>
      <c r="L184" s="6" t="n"/>
      <c r="M184" s="6" t="n"/>
    </row>
    <row r="185">
      <c r="A185" s="7" t="n"/>
      <c r="B185" s="6" t="n"/>
      <c r="C185" s="6" t="n"/>
      <c r="D185">
        <f>IFERROR(VLOOKUP($C185,'CHART OF ACCOUNTS'!$A:$B,2,FALSE),"")</f>
        <v/>
      </c>
      <c r="E185" s="6" t="n"/>
      <c r="F185" s="6" t="n"/>
      <c r="G185" s="6" t="n"/>
      <c r="H185" s="6" t="n"/>
      <c r="I185" s="10" t="n"/>
      <c r="J185" s="10" t="n"/>
      <c r="K185" s="6" t="n"/>
      <c r="L185" s="6" t="n"/>
      <c r="M185" s="6" t="n"/>
    </row>
    <row r="186">
      <c r="A186" s="7" t="n"/>
      <c r="B186" s="6" t="n"/>
      <c r="C186" s="6" t="n"/>
      <c r="D186">
        <f>IFERROR(VLOOKUP($C186,'CHART OF ACCOUNTS'!$A:$B,2,FALSE),"")</f>
        <v/>
      </c>
      <c r="E186" s="6" t="n"/>
      <c r="F186" s="6" t="n"/>
      <c r="G186" s="6" t="n"/>
      <c r="H186" s="6" t="n"/>
      <c r="I186" s="10" t="n"/>
      <c r="J186" s="10" t="n"/>
      <c r="K186" s="6" t="n"/>
      <c r="L186" s="6" t="n"/>
      <c r="M186" s="6" t="n"/>
    </row>
    <row r="187">
      <c r="A187" s="7" t="n"/>
      <c r="B187" s="6" t="n"/>
      <c r="C187" s="6" t="n"/>
      <c r="D187">
        <f>IFERROR(VLOOKUP($C187,'CHART OF ACCOUNTS'!$A:$B,2,FALSE),"")</f>
        <v/>
      </c>
      <c r="E187" s="6" t="n"/>
      <c r="F187" s="6" t="n"/>
      <c r="G187" s="6" t="n"/>
      <c r="H187" s="6" t="n"/>
      <c r="I187" s="10" t="n"/>
      <c r="J187" s="10" t="n"/>
      <c r="K187" s="6" t="n"/>
      <c r="L187" s="6" t="n"/>
      <c r="M187" s="6" t="n"/>
    </row>
    <row r="188">
      <c r="A188" s="7" t="n"/>
      <c r="B188" s="6" t="n"/>
      <c r="C188" s="6" t="n"/>
      <c r="D188">
        <f>IFERROR(VLOOKUP($C188,'CHART OF ACCOUNTS'!$A:$B,2,FALSE),"")</f>
        <v/>
      </c>
      <c r="E188" s="6" t="n"/>
      <c r="F188" s="6" t="n"/>
      <c r="G188" s="6" t="n"/>
      <c r="H188" s="6" t="n"/>
      <c r="I188" s="10" t="n"/>
      <c r="J188" s="10" t="n"/>
      <c r="K188" s="6" t="n"/>
      <c r="L188" s="6" t="n"/>
      <c r="M188" s="6" t="n"/>
    </row>
    <row r="189">
      <c r="A189" s="7" t="n"/>
      <c r="B189" s="6" t="n"/>
      <c r="C189" s="6" t="n"/>
      <c r="D189">
        <f>IFERROR(VLOOKUP($C189,'CHART OF ACCOUNTS'!$A:$B,2,FALSE),"")</f>
        <v/>
      </c>
      <c r="E189" s="6" t="n"/>
      <c r="F189" s="6" t="n"/>
      <c r="G189" s="6" t="n"/>
      <c r="H189" s="6" t="n"/>
      <c r="I189" s="10" t="n"/>
      <c r="J189" s="10" t="n"/>
      <c r="K189" s="6" t="n"/>
      <c r="L189" s="6" t="n"/>
      <c r="M189" s="6" t="n"/>
    </row>
    <row r="190">
      <c r="A190" s="7" t="n"/>
      <c r="B190" s="6" t="n"/>
      <c r="C190" s="6" t="n"/>
      <c r="D190">
        <f>IFERROR(VLOOKUP($C190,'CHART OF ACCOUNTS'!$A:$B,2,FALSE),"")</f>
        <v/>
      </c>
      <c r="E190" s="6" t="n"/>
      <c r="F190" s="6" t="n"/>
      <c r="G190" s="6" t="n"/>
      <c r="H190" s="6" t="n"/>
      <c r="I190" s="10" t="n"/>
      <c r="J190" s="10" t="n"/>
      <c r="K190" s="6" t="n"/>
      <c r="L190" s="6" t="n"/>
      <c r="M190" s="6" t="n"/>
    </row>
    <row r="191">
      <c r="A191" s="7" t="n"/>
      <c r="B191" s="6" t="n"/>
      <c r="C191" s="6" t="n"/>
      <c r="D191">
        <f>IFERROR(VLOOKUP($C191,'CHART OF ACCOUNTS'!$A:$B,2,FALSE),"")</f>
        <v/>
      </c>
      <c r="E191" s="6" t="n"/>
      <c r="F191" s="6" t="n"/>
      <c r="G191" s="6" t="n"/>
      <c r="H191" s="6" t="n"/>
      <c r="I191" s="10" t="n"/>
      <c r="J191" s="10" t="n"/>
      <c r="K191" s="6" t="n"/>
      <c r="L191" s="6" t="n"/>
      <c r="M191" s="6" t="n"/>
    </row>
    <row r="192">
      <c r="A192" s="7" t="n"/>
      <c r="B192" s="6" t="n"/>
      <c r="C192" s="6" t="n"/>
      <c r="D192">
        <f>IFERROR(VLOOKUP($C192,'CHART OF ACCOUNTS'!$A:$B,2,FALSE),"")</f>
        <v/>
      </c>
      <c r="E192" s="6" t="n"/>
      <c r="F192" s="6" t="n"/>
      <c r="G192" s="6" t="n"/>
      <c r="H192" s="6" t="n"/>
      <c r="I192" s="10" t="n"/>
      <c r="J192" s="10" t="n"/>
      <c r="K192" s="6" t="n"/>
      <c r="L192" s="6" t="n"/>
      <c r="M192" s="6" t="n"/>
    </row>
    <row r="193">
      <c r="A193" s="7" t="n"/>
      <c r="B193" s="6" t="n"/>
      <c r="C193" s="6" t="n"/>
      <c r="D193">
        <f>IFERROR(VLOOKUP($C193,'CHART OF ACCOUNTS'!$A:$B,2,FALSE),"")</f>
        <v/>
      </c>
      <c r="E193" s="6" t="n"/>
      <c r="F193" s="6" t="n"/>
      <c r="G193" s="6" t="n"/>
      <c r="H193" s="6" t="n"/>
      <c r="I193" s="10" t="n"/>
      <c r="J193" s="10" t="n"/>
      <c r="K193" s="6" t="n"/>
      <c r="L193" s="6" t="n"/>
      <c r="M193" s="6" t="n"/>
    </row>
    <row r="194">
      <c r="A194" s="7" t="n"/>
      <c r="B194" s="6" t="n"/>
      <c r="C194" s="6" t="n"/>
      <c r="D194">
        <f>IFERROR(VLOOKUP($C194,'CHART OF ACCOUNTS'!$A:$B,2,FALSE),"")</f>
        <v/>
      </c>
      <c r="E194" s="6" t="n"/>
      <c r="F194" s="6" t="n"/>
      <c r="G194" s="6" t="n"/>
      <c r="H194" s="6" t="n"/>
      <c r="I194" s="10" t="n"/>
      <c r="J194" s="10" t="n"/>
      <c r="K194" s="6" t="n"/>
      <c r="L194" s="6" t="n"/>
      <c r="M194" s="6" t="n"/>
    </row>
    <row r="195">
      <c r="A195" s="7" t="n"/>
      <c r="B195" s="6" t="n"/>
      <c r="C195" s="6" t="n"/>
      <c r="D195">
        <f>IFERROR(VLOOKUP($C195,'CHART OF ACCOUNTS'!$A:$B,2,FALSE),"")</f>
        <v/>
      </c>
      <c r="E195" s="6" t="n"/>
      <c r="F195" s="6" t="n"/>
      <c r="G195" s="6" t="n"/>
      <c r="H195" s="6" t="n"/>
      <c r="I195" s="10" t="n"/>
      <c r="J195" s="10" t="n"/>
      <c r="K195" s="6" t="n"/>
      <c r="L195" s="6" t="n"/>
      <c r="M195" s="6" t="n"/>
    </row>
    <row r="196">
      <c r="A196" s="7" t="n"/>
      <c r="B196" s="6" t="n"/>
      <c r="C196" s="6" t="n"/>
      <c r="D196">
        <f>IFERROR(VLOOKUP($C196,'CHART OF ACCOUNTS'!$A:$B,2,FALSE),"")</f>
        <v/>
      </c>
      <c r="E196" s="6" t="n"/>
      <c r="F196" s="6" t="n"/>
      <c r="G196" s="6" t="n"/>
      <c r="H196" s="6" t="n"/>
      <c r="I196" s="10" t="n"/>
      <c r="J196" s="10" t="n"/>
      <c r="K196" s="6" t="n"/>
      <c r="L196" s="6" t="n"/>
      <c r="M196" s="6" t="n"/>
    </row>
    <row r="197">
      <c r="A197" s="7" t="n"/>
      <c r="B197" s="6" t="n"/>
      <c r="C197" s="6" t="n"/>
      <c r="D197">
        <f>IFERROR(VLOOKUP($C197,'CHART OF ACCOUNTS'!$A:$B,2,FALSE),"")</f>
        <v/>
      </c>
      <c r="E197" s="6" t="n"/>
      <c r="F197" s="6" t="n"/>
      <c r="G197" s="6" t="n"/>
      <c r="H197" s="6" t="n"/>
      <c r="I197" s="10" t="n"/>
      <c r="J197" s="10" t="n"/>
      <c r="K197" s="6" t="n"/>
      <c r="L197" s="6" t="n"/>
      <c r="M197" s="6" t="n"/>
    </row>
    <row r="198">
      <c r="A198" s="7" t="n"/>
      <c r="B198" s="6" t="n"/>
      <c r="C198" s="6" t="n"/>
      <c r="D198">
        <f>IFERROR(VLOOKUP($C198,'CHART OF ACCOUNTS'!$A:$B,2,FALSE),"")</f>
        <v/>
      </c>
      <c r="E198" s="6" t="n"/>
      <c r="F198" s="6" t="n"/>
      <c r="G198" s="6" t="n"/>
      <c r="H198" s="6" t="n"/>
      <c r="I198" s="10" t="n"/>
      <c r="J198" s="10" t="n"/>
      <c r="K198" s="6" t="n"/>
      <c r="L198" s="6" t="n"/>
      <c r="M198" s="6" t="n"/>
    </row>
    <row r="199">
      <c r="A199" s="7" t="n"/>
      <c r="B199" s="6" t="n"/>
      <c r="C199" s="6" t="n"/>
      <c r="D199">
        <f>IFERROR(VLOOKUP($C199,'CHART OF ACCOUNTS'!$A:$B,2,FALSE),"")</f>
        <v/>
      </c>
      <c r="E199" s="6" t="n"/>
      <c r="F199" s="6" t="n"/>
      <c r="G199" s="6" t="n"/>
      <c r="H199" s="6" t="n"/>
      <c r="I199" s="10" t="n"/>
      <c r="J199" s="10" t="n"/>
      <c r="K199" s="6" t="n"/>
      <c r="L199" s="6" t="n"/>
      <c r="M199" s="6" t="n"/>
    </row>
    <row r="200">
      <c r="A200" s="7" t="n"/>
      <c r="B200" s="6" t="n"/>
      <c r="C200" s="6" t="n"/>
      <c r="D200">
        <f>IFERROR(VLOOKUP($C200,'CHART OF ACCOUNTS'!$A:$B,2,FALSE),"")</f>
        <v/>
      </c>
      <c r="E200" s="6" t="n"/>
      <c r="F200" s="6" t="n"/>
      <c r="G200" s="6" t="n"/>
      <c r="H200" s="6" t="n"/>
      <c r="I200" s="10" t="n"/>
      <c r="J200" s="10" t="n"/>
      <c r="K200" s="6" t="n"/>
      <c r="L200" s="6" t="n"/>
      <c r="M200" s="6" t="n"/>
    </row>
    <row r="201">
      <c r="A201" s="7" t="n"/>
      <c r="B201" s="6" t="n"/>
      <c r="C201" s="6" t="n"/>
      <c r="D201">
        <f>IFERROR(VLOOKUP($C201,'CHART OF ACCOUNTS'!$A:$B,2,FALSE),"")</f>
        <v/>
      </c>
      <c r="E201" s="6" t="n"/>
      <c r="F201" s="6" t="n"/>
      <c r="G201" s="6" t="n"/>
      <c r="H201" s="6" t="n"/>
      <c r="I201" s="10" t="n"/>
      <c r="J201" s="10" t="n"/>
      <c r="K201" s="6" t="n"/>
      <c r="L201" s="6" t="n"/>
      <c r="M201" s="6" t="n"/>
    </row>
    <row r="202">
      <c r="A202" s="7" t="n"/>
      <c r="B202" s="6" t="n"/>
      <c r="C202" s="6" t="n"/>
      <c r="D202">
        <f>IFERROR(VLOOKUP($C202,'CHART OF ACCOUNTS'!$A:$B,2,FALSE),"")</f>
        <v/>
      </c>
      <c r="E202" s="6" t="n"/>
      <c r="F202" s="6" t="n"/>
      <c r="G202" s="6" t="n"/>
      <c r="H202" s="6" t="n"/>
      <c r="I202" s="10" t="n"/>
      <c r="J202" s="10" t="n"/>
      <c r="K202" s="6" t="n"/>
      <c r="L202" s="6" t="n"/>
      <c r="M202" s="6" t="n"/>
    </row>
    <row r="203">
      <c r="A203" s="7" t="n"/>
      <c r="B203" s="6" t="n"/>
      <c r="C203" s="6" t="n"/>
      <c r="D203">
        <f>IFERROR(VLOOKUP($C203,'CHART OF ACCOUNTS'!$A:$B,2,FALSE),"")</f>
        <v/>
      </c>
      <c r="E203" s="6" t="n"/>
      <c r="F203" s="6" t="n"/>
      <c r="G203" s="6" t="n"/>
      <c r="H203" s="6" t="n"/>
      <c r="I203" s="10" t="n"/>
      <c r="J203" s="10" t="n"/>
      <c r="K203" s="6" t="n"/>
      <c r="L203" s="6" t="n"/>
      <c r="M203" s="6" t="n"/>
    </row>
    <row r="204">
      <c r="A204" s="7" t="n"/>
      <c r="B204" s="6" t="n"/>
      <c r="C204" s="6" t="n"/>
      <c r="D204">
        <f>IFERROR(VLOOKUP($C204,'CHART OF ACCOUNTS'!$A:$B,2,FALSE),"")</f>
        <v/>
      </c>
      <c r="E204" s="6" t="n"/>
      <c r="F204" s="6" t="n"/>
      <c r="G204" s="6" t="n"/>
      <c r="H204" s="6" t="n"/>
      <c r="I204" s="10" t="n"/>
      <c r="J204" s="10" t="n"/>
      <c r="K204" s="6" t="n"/>
      <c r="L204" s="6" t="n"/>
      <c r="M204" s="6" t="n"/>
    </row>
    <row r="205">
      <c r="A205" s="7" t="n"/>
      <c r="B205" s="6" t="n"/>
      <c r="C205" s="6" t="n"/>
      <c r="D205">
        <f>IFERROR(VLOOKUP($C205,'CHART OF ACCOUNTS'!$A:$B,2,FALSE),"")</f>
        <v/>
      </c>
      <c r="E205" s="6" t="n"/>
      <c r="F205" s="6" t="n"/>
      <c r="G205" s="6" t="n"/>
      <c r="H205" s="6" t="n"/>
      <c r="I205" s="10" t="n"/>
      <c r="J205" s="10" t="n"/>
      <c r="K205" s="6" t="n"/>
      <c r="L205" s="6" t="n"/>
      <c r="M205" s="6" t="n"/>
    </row>
    <row r="206">
      <c r="A206" s="7" t="n"/>
      <c r="B206" s="6" t="n"/>
      <c r="C206" s="6" t="n"/>
      <c r="D206">
        <f>IFERROR(VLOOKUP($C206,'CHART OF ACCOUNTS'!$A:$B,2,FALSE),"")</f>
        <v/>
      </c>
      <c r="E206" s="6" t="n"/>
      <c r="F206" s="6" t="n"/>
      <c r="G206" s="6" t="n"/>
      <c r="H206" s="6" t="n"/>
      <c r="I206" s="10" t="n"/>
      <c r="J206" s="10" t="n"/>
      <c r="K206" s="6" t="n"/>
      <c r="L206" s="6" t="n"/>
      <c r="M206" s="6" t="n"/>
    </row>
    <row r="207">
      <c r="A207" s="7" t="n"/>
      <c r="B207" s="6" t="n"/>
      <c r="C207" s="6" t="n"/>
      <c r="D207">
        <f>IFERROR(VLOOKUP($C207,'CHART OF ACCOUNTS'!$A:$B,2,FALSE),"")</f>
        <v/>
      </c>
      <c r="E207" s="6" t="n"/>
      <c r="F207" s="6" t="n"/>
      <c r="G207" s="6" t="n"/>
      <c r="H207" s="6" t="n"/>
      <c r="I207" s="10" t="n"/>
      <c r="J207" s="10" t="n"/>
      <c r="K207" s="6" t="n"/>
      <c r="L207" s="6" t="n"/>
      <c r="M207" s="6" t="n"/>
    </row>
    <row r="208">
      <c r="A208" s="7" t="n"/>
      <c r="B208" s="6" t="n"/>
      <c r="C208" s="6" t="n"/>
      <c r="D208">
        <f>IFERROR(VLOOKUP($C208,'CHART OF ACCOUNTS'!$A:$B,2,FALSE),"")</f>
        <v/>
      </c>
      <c r="E208" s="6" t="n"/>
      <c r="F208" s="6" t="n"/>
      <c r="G208" s="6" t="n"/>
      <c r="H208" s="6" t="n"/>
      <c r="I208" s="10" t="n"/>
      <c r="J208" s="10" t="n"/>
      <c r="K208" s="6" t="n"/>
      <c r="L208" s="6" t="n"/>
      <c r="M208" s="6" t="n"/>
    </row>
    <row r="209">
      <c r="A209" s="7" t="n"/>
      <c r="B209" s="6" t="n"/>
      <c r="C209" s="6" t="n"/>
      <c r="D209">
        <f>IFERROR(VLOOKUP($C209,'CHART OF ACCOUNTS'!$A:$B,2,FALSE),"")</f>
        <v/>
      </c>
      <c r="E209" s="6" t="n"/>
      <c r="F209" s="6" t="n"/>
      <c r="G209" s="6" t="n"/>
      <c r="H209" s="6" t="n"/>
      <c r="I209" s="10" t="n"/>
      <c r="J209" s="10" t="n"/>
      <c r="K209" s="6" t="n"/>
      <c r="L209" s="6" t="n"/>
      <c r="M209" s="6" t="n"/>
    </row>
    <row r="210">
      <c r="A210" s="7" t="n"/>
      <c r="B210" s="6" t="n"/>
      <c r="C210" s="6" t="n"/>
      <c r="D210">
        <f>IFERROR(VLOOKUP($C210,'CHART OF ACCOUNTS'!$A:$B,2,FALSE),"")</f>
        <v/>
      </c>
      <c r="E210" s="6" t="n"/>
      <c r="F210" s="6" t="n"/>
      <c r="G210" s="6" t="n"/>
      <c r="H210" s="6" t="n"/>
      <c r="I210" s="10" t="n"/>
      <c r="J210" s="10" t="n"/>
      <c r="K210" s="6" t="n"/>
      <c r="L210" s="6" t="n"/>
      <c r="M210" s="6" t="n"/>
    </row>
    <row r="211">
      <c r="A211" s="7" t="n"/>
      <c r="B211" s="6" t="n"/>
      <c r="C211" s="6" t="n"/>
      <c r="D211">
        <f>IFERROR(VLOOKUP($C211,'CHART OF ACCOUNTS'!$A:$B,2,FALSE),"")</f>
        <v/>
      </c>
      <c r="E211" s="6" t="n"/>
      <c r="F211" s="6" t="n"/>
      <c r="G211" s="6" t="n"/>
      <c r="H211" s="6" t="n"/>
      <c r="I211" s="10" t="n"/>
      <c r="J211" s="10" t="n"/>
      <c r="K211" s="6" t="n"/>
      <c r="L211" s="6" t="n"/>
      <c r="M211" s="6" t="n"/>
    </row>
    <row r="212">
      <c r="A212" s="7" t="n"/>
      <c r="B212" s="6" t="n"/>
      <c r="C212" s="6" t="n"/>
      <c r="D212">
        <f>IFERROR(VLOOKUP($C212,'CHART OF ACCOUNTS'!$A:$B,2,FALSE),"")</f>
        <v/>
      </c>
      <c r="E212" s="6" t="n"/>
      <c r="F212" s="6" t="n"/>
      <c r="G212" s="6" t="n"/>
      <c r="H212" s="6" t="n"/>
      <c r="I212" s="10" t="n"/>
      <c r="J212" s="10" t="n"/>
      <c r="K212" s="6" t="n"/>
      <c r="L212" s="6" t="n"/>
      <c r="M212" s="6" t="n"/>
    </row>
    <row r="213">
      <c r="A213" s="7" t="n"/>
      <c r="B213" s="6" t="n"/>
      <c r="C213" s="6" t="n"/>
      <c r="D213">
        <f>IFERROR(VLOOKUP($C213,'CHART OF ACCOUNTS'!$A:$B,2,FALSE),"")</f>
        <v/>
      </c>
      <c r="E213" s="6" t="n"/>
      <c r="F213" s="6" t="n"/>
      <c r="G213" s="6" t="n"/>
      <c r="H213" s="6" t="n"/>
      <c r="I213" s="10" t="n"/>
      <c r="J213" s="10" t="n"/>
      <c r="K213" s="6" t="n"/>
      <c r="L213" s="6" t="n"/>
      <c r="M213" s="6" t="n"/>
    </row>
    <row r="214">
      <c r="A214" s="7" t="n"/>
      <c r="B214" s="6" t="n"/>
      <c r="C214" s="6" t="n"/>
      <c r="D214">
        <f>IFERROR(VLOOKUP($C214,'CHART OF ACCOUNTS'!$A:$B,2,FALSE),"")</f>
        <v/>
      </c>
      <c r="E214" s="6" t="n"/>
      <c r="F214" s="6" t="n"/>
      <c r="G214" s="6" t="n"/>
      <c r="H214" s="6" t="n"/>
      <c r="I214" s="10" t="n"/>
      <c r="J214" s="10" t="n"/>
      <c r="K214" s="6" t="n"/>
      <c r="L214" s="6" t="n"/>
      <c r="M214" s="6" t="n"/>
    </row>
    <row r="215">
      <c r="A215" s="7" t="n"/>
      <c r="B215" s="6" t="n"/>
      <c r="C215" s="6" t="n"/>
      <c r="D215">
        <f>IFERROR(VLOOKUP($C215,'CHART OF ACCOUNTS'!$A:$B,2,FALSE),"")</f>
        <v/>
      </c>
      <c r="E215" s="6" t="n"/>
      <c r="F215" s="6" t="n"/>
      <c r="G215" s="6" t="n"/>
      <c r="H215" s="6" t="n"/>
      <c r="I215" s="10" t="n"/>
      <c r="J215" s="10" t="n"/>
      <c r="K215" s="6" t="n"/>
      <c r="L215" s="6" t="n"/>
      <c r="M215" s="6" t="n"/>
    </row>
    <row r="216">
      <c r="A216" s="7" t="n"/>
      <c r="B216" s="6" t="n"/>
      <c r="C216" s="6" t="n"/>
      <c r="D216">
        <f>IFERROR(VLOOKUP($C216,'CHART OF ACCOUNTS'!$A:$B,2,FALSE),"")</f>
        <v/>
      </c>
      <c r="E216" s="6" t="n"/>
      <c r="F216" s="6" t="n"/>
      <c r="G216" s="6" t="n"/>
      <c r="H216" s="6" t="n"/>
      <c r="I216" s="10" t="n"/>
      <c r="J216" s="10" t="n"/>
      <c r="K216" s="6" t="n"/>
      <c r="L216" s="6" t="n"/>
      <c r="M216" s="6" t="n"/>
    </row>
    <row r="217">
      <c r="A217" s="7" t="n"/>
      <c r="B217" s="6" t="n"/>
      <c r="C217" s="6" t="n"/>
      <c r="D217">
        <f>IFERROR(VLOOKUP($C217,'CHART OF ACCOUNTS'!$A:$B,2,FALSE),"")</f>
        <v/>
      </c>
      <c r="E217" s="6" t="n"/>
      <c r="F217" s="6" t="n"/>
      <c r="G217" s="6" t="n"/>
      <c r="H217" s="6" t="n"/>
      <c r="I217" s="10" t="n"/>
      <c r="J217" s="10" t="n"/>
      <c r="K217" s="6" t="n"/>
      <c r="L217" s="6" t="n"/>
      <c r="M217" s="6" t="n"/>
    </row>
    <row r="218">
      <c r="A218" s="7" t="n"/>
      <c r="B218" s="6" t="n"/>
      <c r="C218" s="6" t="n"/>
      <c r="D218">
        <f>IFERROR(VLOOKUP($C218,'CHART OF ACCOUNTS'!$A:$B,2,FALSE),"")</f>
        <v/>
      </c>
      <c r="E218" s="6" t="n"/>
      <c r="F218" s="6" t="n"/>
      <c r="G218" s="6" t="n"/>
      <c r="H218" s="6" t="n"/>
      <c r="I218" s="10" t="n"/>
      <c r="J218" s="10" t="n"/>
      <c r="K218" s="6" t="n"/>
      <c r="L218" s="6" t="n"/>
      <c r="M218" s="6" t="n"/>
    </row>
    <row r="219">
      <c r="A219" s="7" t="n"/>
      <c r="B219" s="6" t="n"/>
      <c r="C219" s="6" t="n"/>
      <c r="D219">
        <f>IFERROR(VLOOKUP($C219,'CHART OF ACCOUNTS'!$A:$B,2,FALSE),"")</f>
        <v/>
      </c>
      <c r="E219" s="6" t="n"/>
      <c r="F219" s="6" t="n"/>
      <c r="G219" s="6" t="n"/>
      <c r="H219" s="6" t="n"/>
      <c r="I219" s="10" t="n"/>
      <c r="J219" s="10" t="n"/>
      <c r="K219" s="6" t="n"/>
      <c r="L219" s="6" t="n"/>
      <c r="M219" s="6" t="n"/>
    </row>
    <row r="220">
      <c r="A220" s="7" t="n"/>
      <c r="B220" s="6" t="n"/>
      <c r="C220" s="6" t="n"/>
      <c r="D220">
        <f>IFERROR(VLOOKUP($C220,'CHART OF ACCOUNTS'!$A:$B,2,FALSE),"")</f>
        <v/>
      </c>
      <c r="E220" s="6" t="n"/>
      <c r="F220" s="6" t="n"/>
      <c r="G220" s="6" t="n"/>
      <c r="H220" s="6" t="n"/>
      <c r="I220" s="10" t="n"/>
      <c r="J220" s="10" t="n"/>
      <c r="K220" s="6" t="n"/>
      <c r="L220" s="6" t="n"/>
      <c r="M220" s="6" t="n"/>
    </row>
    <row r="221">
      <c r="A221" s="7" t="n"/>
      <c r="B221" s="6" t="n"/>
      <c r="C221" s="6" t="n"/>
      <c r="D221">
        <f>IFERROR(VLOOKUP($C221,'CHART OF ACCOUNTS'!$A:$B,2,FALSE),"")</f>
        <v/>
      </c>
      <c r="E221" s="6" t="n"/>
      <c r="F221" s="6" t="n"/>
      <c r="G221" s="6" t="n"/>
      <c r="H221" s="6" t="n"/>
      <c r="I221" s="10" t="n"/>
      <c r="J221" s="10" t="n"/>
      <c r="K221" s="6" t="n"/>
      <c r="L221" s="6" t="n"/>
      <c r="M221" s="6" t="n"/>
    </row>
    <row r="222">
      <c r="A222" s="7" t="n"/>
      <c r="B222" s="6" t="n"/>
      <c r="C222" s="6" t="n"/>
      <c r="D222">
        <f>IFERROR(VLOOKUP($C222,'CHART OF ACCOUNTS'!$A:$B,2,FALSE),"")</f>
        <v/>
      </c>
      <c r="E222" s="6" t="n"/>
      <c r="F222" s="6" t="n"/>
      <c r="G222" s="6" t="n"/>
      <c r="H222" s="6" t="n"/>
      <c r="I222" s="10" t="n"/>
      <c r="J222" s="10" t="n"/>
      <c r="K222" s="6" t="n"/>
      <c r="L222" s="6" t="n"/>
      <c r="M222" s="6" t="n"/>
    </row>
    <row r="223">
      <c r="A223" s="7" t="n"/>
      <c r="B223" s="6" t="n"/>
      <c r="C223" s="6" t="n"/>
      <c r="D223">
        <f>IFERROR(VLOOKUP($C223,'CHART OF ACCOUNTS'!$A:$B,2,FALSE),"")</f>
        <v/>
      </c>
      <c r="E223" s="6" t="n"/>
      <c r="F223" s="6" t="n"/>
      <c r="G223" s="6" t="n"/>
      <c r="H223" s="6" t="n"/>
      <c r="I223" s="10" t="n"/>
      <c r="J223" s="10" t="n"/>
      <c r="K223" s="6" t="n"/>
      <c r="L223" s="6" t="n"/>
      <c r="M223" s="6" t="n"/>
    </row>
    <row r="224">
      <c r="A224" s="7" t="n"/>
      <c r="B224" s="6" t="n"/>
      <c r="C224" s="6" t="n"/>
      <c r="D224">
        <f>IFERROR(VLOOKUP($C224,'CHART OF ACCOUNTS'!$A:$B,2,FALSE),"")</f>
        <v/>
      </c>
      <c r="E224" s="6" t="n"/>
      <c r="F224" s="6" t="n"/>
      <c r="G224" s="6" t="n"/>
      <c r="H224" s="6" t="n"/>
      <c r="I224" s="10" t="n"/>
      <c r="J224" s="10" t="n"/>
      <c r="K224" s="6" t="n"/>
      <c r="L224" s="6" t="n"/>
      <c r="M224" s="6" t="n"/>
    </row>
    <row r="225">
      <c r="A225" s="7" t="n"/>
      <c r="B225" s="6" t="n"/>
      <c r="C225" s="6" t="n"/>
      <c r="D225">
        <f>IFERROR(VLOOKUP($C225,'CHART OF ACCOUNTS'!$A:$B,2,FALSE),"")</f>
        <v/>
      </c>
      <c r="E225" s="6" t="n"/>
      <c r="F225" s="6" t="n"/>
      <c r="G225" s="6" t="n"/>
      <c r="H225" s="6" t="n"/>
      <c r="I225" s="10" t="n"/>
      <c r="J225" s="10" t="n"/>
      <c r="K225" s="6" t="n"/>
      <c r="L225" s="6" t="n"/>
      <c r="M225" s="6" t="n"/>
    </row>
    <row r="226">
      <c r="A226" s="7" t="n"/>
      <c r="B226" s="6" t="n"/>
      <c r="C226" s="6" t="n"/>
      <c r="D226">
        <f>IFERROR(VLOOKUP($C226,'CHART OF ACCOUNTS'!$A:$B,2,FALSE),"")</f>
        <v/>
      </c>
      <c r="E226" s="6" t="n"/>
      <c r="F226" s="6" t="n"/>
      <c r="G226" s="6" t="n"/>
      <c r="H226" s="6" t="n"/>
      <c r="I226" s="10" t="n"/>
      <c r="J226" s="10" t="n"/>
      <c r="K226" s="6" t="n"/>
      <c r="L226" s="6" t="n"/>
      <c r="M226" s="6" t="n"/>
    </row>
    <row r="227">
      <c r="A227" s="7" t="n"/>
      <c r="B227" s="6" t="n"/>
      <c r="C227" s="6" t="n"/>
      <c r="D227">
        <f>IFERROR(VLOOKUP($C227,'CHART OF ACCOUNTS'!$A:$B,2,FALSE),"")</f>
        <v/>
      </c>
      <c r="E227" s="6" t="n"/>
      <c r="F227" s="6" t="n"/>
      <c r="G227" s="6" t="n"/>
      <c r="H227" s="6" t="n"/>
      <c r="I227" s="10" t="n"/>
      <c r="J227" s="10" t="n"/>
      <c r="K227" s="6" t="n"/>
      <c r="L227" s="6" t="n"/>
      <c r="M227" s="6" t="n"/>
    </row>
    <row r="228">
      <c r="A228" s="7" t="n"/>
      <c r="B228" s="6" t="n"/>
      <c r="C228" s="6" t="n"/>
      <c r="D228">
        <f>IFERROR(VLOOKUP($C228,'CHART OF ACCOUNTS'!$A:$B,2,FALSE),"")</f>
        <v/>
      </c>
      <c r="E228" s="6" t="n"/>
      <c r="F228" s="6" t="n"/>
      <c r="G228" s="6" t="n"/>
      <c r="H228" s="6" t="n"/>
      <c r="I228" s="10" t="n"/>
      <c r="J228" s="10" t="n"/>
      <c r="K228" s="6" t="n"/>
      <c r="L228" s="6" t="n"/>
      <c r="M228" s="6" t="n"/>
    </row>
    <row r="229">
      <c r="A229" s="7" t="n"/>
      <c r="B229" s="6" t="n"/>
      <c r="C229" s="6" t="n"/>
      <c r="D229">
        <f>IFERROR(VLOOKUP($C229,'CHART OF ACCOUNTS'!$A:$B,2,FALSE),"")</f>
        <v/>
      </c>
      <c r="E229" s="6" t="n"/>
      <c r="F229" s="6" t="n"/>
      <c r="G229" s="6" t="n"/>
      <c r="H229" s="6" t="n"/>
      <c r="I229" s="10" t="n"/>
      <c r="J229" s="10" t="n"/>
      <c r="K229" s="6" t="n"/>
      <c r="L229" s="6" t="n"/>
      <c r="M229" s="6" t="n"/>
    </row>
    <row r="230">
      <c r="A230" s="7" t="n"/>
      <c r="B230" s="6" t="n"/>
      <c r="C230" s="6" t="n"/>
      <c r="D230">
        <f>IFERROR(VLOOKUP($C230,'CHART OF ACCOUNTS'!$A:$B,2,FALSE),"")</f>
        <v/>
      </c>
      <c r="E230" s="6" t="n"/>
      <c r="F230" s="6" t="n"/>
      <c r="G230" s="6" t="n"/>
      <c r="H230" s="6" t="n"/>
      <c r="I230" s="10" t="n"/>
      <c r="J230" s="10" t="n"/>
      <c r="K230" s="6" t="n"/>
      <c r="L230" s="6" t="n"/>
      <c r="M230" s="6" t="n"/>
    </row>
    <row r="231">
      <c r="A231" s="7" t="n"/>
      <c r="B231" s="6" t="n"/>
      <c r="C231" s="6" t="n"/>
      <c r="D231">
        <f>IFERROR(VLOOKUP($C231,'CHART OF ACCOUNTS'!$A:$B,2,FALSE),"")</f>
        <v/>
      </c>
      <c r="E231" s="6" t="n"/>
      <c r="F231" s="6" t="n"/>
      <c r="G231" s="6" t="n"/>
      <c r="H231" s="6" t="n"/>
      <c r="I231" s="10" t="n"/>
      <c r="J231" s="10" t="n"/>
      <c r="K231" s="6" t="n"/>
      <c r="L231" s="6" t="n"/>
      <c r="M231" s="6" t="n"/>
    </row>
    <row r="232">
      <c r="A232" s="7" t="n"/>
      <c r="B232" s="6" t="n"/>
      <c r="C232" s="6" t="n"/>
      <c r="D232">
        <f>IFERROR(VLOOKUP($C232,'CHART OF ACCOUNTS'!$A:$B,2,FALSE),"")</f>
        <v/>
      </c>
      <c r="E232" s="6" t="n"/>
      <c r="F232" s="6" t="n"/>
      <c r="G232" s="6" t="n"/>
      <c r="H232" s="6" t="n"/>
      <c r="I232" s="10" t="n"/>
      <c r="J232" s="10" t="n"/>
      <c r="K232" s="6" t="n"/>
      <c r="L232" s="6" t="n"/>
      <c r="M232" s="6" t="n"/>
    </row>
    <row r="233">
      <c r="A233" s="7" t="n"/>
      <c r="B233" s="6" t="n"/>
      <c r="C233" s="6" t="n"/>
      <c r="D233">
        <f>IFERROR(VLOOKUP($C233,'CHART OF ACCOUNTS'!$A:$B,2,FALSE),"")</f>
        <v/>
      </c>
      <c r="E233" s="6" t="n"/>
      <c r="F233" s="6" t="n"/>
      <c r="G233" s="6" t="n"/>
      <c r="H233" s="6" t="n"/>
      <c r="I233" s="10" t="n"/>
      <c r="J233" s="10" t="n"/>
      <c r="K233" s="6" t="n"/>
      <c r="L233" s="6" t="n"/>
      <c r="M233" s="6" t="n"/>
    </row>
    <row r="234">
      <c r="A234" s="7" t="n"/>
      <c r="B234" s="6" t="n"/>
      <c r="C234" s="6" t="n"/>
      <c r="D234">
        <f>IFERROR(VLOOKUP($C234,'CHART OF ACCOUNTS'!$A:$B,2,FALSE),"")</f>
        <v/>
      </c>
      <c r="E234" s="6" t="n"/>
      <c r="F234" s="6" t="n"/>
      <c r="G234" s="6" t="n"/>
      <c r="H234" s="6" t="n"/>
      <c r="I234" s="10" t="n"/>
      <c r="J234" s="10" t="n"/>
      <c r="K234" s="6" t="n"/>
      <c r="L234" s="6" t="n"/>
      <c r="M234" s="6" t="n"/>
    </row>
    <row r="235">
      <c r="A235" s="7" t="n"/>
      <c r="B235" s="6" t="n"/>
      <c r="C235" s="6" t="n"/>
      <c r="D235">
        <f>IFERROR(VLOOKUP($C235,'CHART OF ACCOUNTS'!$A:$B,2,FALSE),"")</f>
        <v/>
      </c>
      <c r="E235" s="6" t="n"/>
      <c r="F235" s="6" t="n"/>
      <c r="G235" s="6" t="n"/>
      <c r="H235" s="6" t="n"/>
      <c r="I235" s="10" t="n"/>
      <c r="J235" s="10" t="n"/>
      <c r="K235" s="6" t="n"/>
      <c r="L235" s="6" t="n"/>
      <c r="M235" s="6" t="n"/>
    </row>
    <row r="236">
      <c r="A236" s="7" t="n"/>
      <c r="B236" s="6" t="n"/>
      <c r="C236" s="6" t="n"/>
      <c r="D236">
        <f>IFERROR(VLOOKUP($C236,'CHART OF ACCOUNTS'!$A:$B,2,FALSE),"")</f>
        <v/>
      </c>
      <c r="E236" s="6" t="n"/>
      <c r="F236" s="6" t="n"/>
      <c r="G236" s="6" t="n"/>
      <c r="H236" s="6" t="n"/>
      <c r="I236" s="10" t="n"/>
      <c r="J236" s="10" t="n"/>
      <c r="K236" s="6" t="n"/>
      <c r="L236" s="6" t="n"/>
      <c r="M236" s="6" t="n"/>
    </row>
    <row r="237">
      <c r="A237" s="7" t="n"/>
      <c r="B237" s="6" t="n"/>
      <c r="C237" s="6" t="n"/>
      <c r="D237">
        <f>IFERROR(VLOOKUP($C237,'CHART OF ACCOUNTS'!$A:$B,2,FALSE),"")</f>
        <v/>
      </c>
      <c r="E237" s="6" t="n"/>
      <c r="F237" s="6" t="n"/>
      <c r="G237" s="6" t="n"/>
      <c r="H237" s="6" t="n"/>
      <c r="I237" s="10" t="n"/>
      <c r="J237" s="10" t="n"/>
      <c r="K237" s="6" t="n"/>
      <c r="L237" s="6" t="n"/>
      <c r="M237" s="6" t="n"/>
    </row>
    <row r="238">
      <c r="A238" s="7" t="n"/>
      <c r="B238" s="6" t="n"/>
      <c r="C238" s="6" t="n"/>
      <c r="D238">
        <f>IFERROR(VLOOKUP($C238,'CHART OF ACCOUNTS'!$A:$B,2,FALSE),"")</f>
        <v/>
      </c>
      <c r="E238" s="6" t="n"/>
      <c r="F238" s="6" t="n"/>
      <c r="G238" s="6" t="n"/>
      <c r="H238" s="6" t="n"/>
      <c r="I238" s="10" t="n"/>
      <c r="J238" s="10" t="n"/>
      <c r="K238" s="6" t="n"/>
      <c r="L238" s="6" t="n"/>
      <c r="M238" s="6" t="n"/>
    </row>
    <row r="239">
      <c r="A239" s="7" t="n"/>
      <c r="B239" s="6" t="n"/>
      <c r="C239" s="6" t="n"/>
      <c r="D239">
        <f>IFERROR(VLOOKUP($C239,'CHART OF ACCOUNTS'!$A:$B,2,FALSE),"")</f>
        <v/>
      </c>
      <c r="E239" s="6" t="n"/>
      <c r="F239" s="6" t="n"/>
      <c r="G239" s="6" t="n"/>
      <c r="H239" s="6" t="n"/>
      <c r="I239" s="10" t="n"/>
      <c r="J239" s="10" t="n"/>
      <c r="K239" s="6" t="n"/>
      <c r="L239" s="6" t="n"/>
      <c r="M239" s="6" t="n"/>
    </row>
    <row r="240">
      <c r="A240" s="7" t="n"/>
      <c r="B240" s="6" t="n"/>
      <c r="C240" s="6" t="n"/>
      <c r="D240">
        <f>IFERROR(VLOOKUP($C240,'CHART OF ACCOUNTS'!$A:$B,2,FALSE),"")</f>
        <v/>
      </c>
      <c r="E240" s="6" t="n"/>
      <c r="F240" s="6" t="n"/>
      <c r="G240" s="6" t="n"/>
      <c r="H240" s="6" t="n"/>
      <c r="I240" s="10" t="n"/>
      <c r="J240" s="10" t="n"/>
      <c r="K240" s="6" t="n"/>
      <c r="L240" s="6" t="n"/>
      <c r="M240" s="6" t="n"/>
    </row>
    <row r="241">
      <c r="A241" s="7" t="n"/>
      <c r="B241" s="6" t="n"/>
      <c r="C241" s="6" t="n"/>
      <c r="D241">
        <f>IFERROR(VLOOKUP($C241,'CHART OF ACCOUNTS'!$A:$B,2,FALSE),"")</f>
        <v/>
      </c>
      <c r="E241" s="6" t="n"/>
      <c r="F241" s="6" t="n"/>
      <c r="G241" s="6" t="n"/>
      <c r="H241" s="6" t="n"/>
      <c r="I241" s="10" t="n"/>
      <c r="J241" s="10" t="n"/>
      <c r="K241" s="6" t="n"/>
      <c r="L241" s="6" t="n"/>
      <c r="M241" s="6" t="n"/>
    </row>
    <row r="242">
      <c r="A242" s="7" t="n"/>
      <c r="B242" s="6" t="n"/>
      <c r="C242" s="6" t="n"/>
      <c r="D242">
        <f>IFERROR(VLOOKUP($C242,'CHART OF ACCOUNTS'!$A:$B,2,FALSE),"")</f>
        <v/>
      </c>
      <c r="E242" s="6" t="n"/>
      <c r="F242" s="6" t="n"/>
      <c r="G242" s="6" t="n"/>
      <c r="H242" s="6" t="n"/>
      <c r="I242" s="10" t="n"/>
      <c r="J242" s="10" t="n"/>
      <c r="K242" s="6" t="n"/>
      <c r="L242" s="6" t="n"/>
      <c r="M242" s="6" t="n"/>
    </row>
    <row r="243">
      <c r="A243" s="7" t="n"/>
      <c r="B243" s="6" t="n"/>
      <c r="C243" s="6" t="n"/>
      <c r="D243">
        <f>IFERROR(VLOOKUP($C243,'CHART OF ACCOUNTS'!$A:$B,2,FALSE),"")</f>
        <v/>
      </c>
      <c r="E243" s="6" t="n"/>
      <c r="F243" s="6" t="n"/>
      <c r="G243" s="6" t="n"/>
      <c r="H243" s="6" t="n"/>
      <c r="I243" s="10" t="n"/>
      <c r="J243" s="10" t="n"/>
      <c r="K243" s="6" t="n"/>
      <c r="L243" s="6" t="n"/>
      <c r="M243" s="6" t="n"/>
    </row>
    <row r="244">
      <c r="A244" s="7" t="n"/>
      <c r="B244" s="6" t="n"/>
      <c r="C244" s="6" t="n"/>
      <c r="D244">
        <f>IFERROR(VLOOKUP($C244,'CHART OF ACCOUNTS'!$A:$B,2,FALSE),"")</f>
        <v/>
      </c>
      <c r="E244" s="6" t="n"/>
      <c r="F244" s="6" t="n"/>
      <c r="G244" s="6" t="n"/>
      <c r="H244" s="6" t="n"/>
      <c r="I244" s="10" t="n"/>
      <c r="J244" s="10" t="n"/>
      <c r="K244" s="6" t="n"/>
      <c r="L244" s="6" t="n"/>
      <c r="M244" s="6" t="n"/>
    </row>
    <row r="245">
      <c r="A245" s="7" t="n"/>
      <c r="B245" s="6" t="n"/>
      <c r="C245" s="6" t="n"/>
      <c r="D245">
        <f>IFERROR(VLOOKUP($C245,'CHART OF ACCOUNTS'!$A:$B,2,FALSE),"")</f>
        <v/>
      </c>
      <c r="E245" s="6" t="n"/>
      <c r="F245" s="6" t="n"/>
      <c r="G245" s="6" t="n"/>
      <c r="H245" s="6" t="n"/>
      <c r="I245" s="10" t="n"/>
      <c r="J245" s="10" t="n"/>
      <c r="K245" s="6" t="n"/>
      <c r="L245" s="6" t="n"/>
      <c r="M245" s="6" t="n"/>
    </row>
    <row r="246">
      <c r="A246" s="7" t="n"/>
      <c r="B246" s="6" t="n"/>
      <c r="C246" s="6" t="n"/>
      <c r="D246">
        <f>IFERROR(VLOOKUP($C246,'CHART OF ACCOUNTS'!$A:$B,2,FALSE),"")</f>
        <v/>
      </c>
      <c r="E246" s="6" t="n"/>
      <c r="F246" s="6" t="n"/>
      <c r="G246" s="6" t="n"/>
      <c r="H246" s="6" t="n"/>
      <c r="I246" s="10" t="n"/>
      <c r="J246" s="10" t="n"/>
      <c r="K246" s="6" t="n"/>
      <c r="L246" s="6" t="n"/>
      <c r="M246" s="6" t="n"/>
    </row>
    <row r="247">
      <c r="A247" s="7" t="n"/>
      <c r="B247" s="6" t="n"/>
      <c r="C247" s="6" t="n"/>
      <c r="D247">
        <f>IFERROR(VLOOKUP($C247,'CHART OF ACCOUNTS'!$A:$B,2,FALSE),"")</f>
        <v/>
      </c>
      <c r="E247" s="6" t="n"/>
      <c r="F247" s="6" t="n"/>
      <c r="G247" s="6" t="n"/>
      <c r="H247" s="6" t="n"/>
      <c r="I247" s="10" t="n"/>
      <c r="J247" s="10" t="n"/>
      <c r="K247" s="6" t="n"/>
      <c r="L247" s="6" t="n"/>
      <c r="M247" s="6" t="n"/>
    </row>
    <row r="248">
      <c r="A248" s="7" t="n"/>
      <c r="B248" s="6" t="n"/>
      <c r="C248" s="6" t="n"/>
      <c r="D248">
        <f>IFERROR(VLOOKUP($C248,'CHART OF ACCOUNTS'!$A:$B,2,FALSE),"")</f>
        <v/>
      </c>
      <c r="E248" s="6" t="n"/>
      <c r="F248" s="6" t="n"/>
      <c r="G248" s="6" t="n"/>
      <c r="H248" s="6" t="n"/>
      <c r="I248" s="10" t="n"/>
      <c r="J248" s="10" t="n"/>
      <c r="K248" s="6" t="n"/>
      <c r="L248" s="6" t="n"/>
      <c r="M248" s="6" t="n"/>
    </row>
    <row r="249">
      <c r="A249" s="7" t="n"/>
      <c r="B249" s="6" t="n"/>
      <c r="C249" s="6" t="n"/>
      <c r="D249">
        <f>IFERROR(VLOOKUP($C249,'CHART OF ACCOUNTS'!$A:$B,2,FALSE),"")</f>
        <v/>
      </c>
      <c r="E249" s="6" t="n"/>
      <c r="F249" s="6" t="n"/>
      <c r="G249" s="6" t="n"/>
      <c r="H249" s="6" t="n"/>
      <c r="I249" s="10" t="n"/>
      <c r="J249" s="10" t="n"/>
      <c r="K249" s="6" t="n"/>
      <c r="L249" s="6" t="n"/>
      <c r="M249" s="6" t="n"/>
    </row>
    <row r="250">
      <c r="A250" s="7" t="n"/>
      <c r="B250" s="6" t="n"/>
      <c r="C250" s="6" t="n"/>
      <c r="D250">
        <f>IFERROR(VLOOKUP($C250,'CHART OF ACCOUNTS'!$A:$B,2,FALSE),"")</f>
        <v/>
      </c>
      <c r="E250" s="6" t="n"/>
      <c r="F250" s="6" t="n"/>
      <c r="G250" s="6" t="n"/>
      <c r="H250" s="6" t="n"/>
      <c r="I250" s="10" t="n"/>
      <c r="J250" s="10" t="n"/>
      <c r="K250" s="6" t="n"/>
      <c r="L250" s="6" t="n"/>
      <c r="M250" s="6" t="n"/>
    </row>
    <row r="251">
      <c r="A251" s="7" t="n"/>
      <c r="B251" s="6" t="n"/>
      <c r="C251" s="6" t="n"/>
      <c r="D251">
        <f>IFERROR(VLOOKUP($C251,'CHART OF ACCOUNTS'!$A:$B,2,FALSE),"")</f>
        <v/>
      </c>
      <c r="E251" s="6" t="n"/>
      <c r="F251" s="6" t="n"/>
      <c r="G251" s="6" t="n"/>
      <c r="H251" s="6" t="n"/>
      <c r="I251" s="10" t="n"/>
      <c r="J251" s="10" t="n"/>
      <c r="K251" s="6" t="n"/>
      <c r="L251" s="6" t="n"/>
      <c r="M251" s="6" t="n"/>
    </row>
    <row r="252">
      <c r="A252" s="7" t="n"/>
      <c r="B252" s="6" t="n"/>
      <c r="C252" s="6" t="n"/>
      <c r="D252">
        <f>IFERROR(VLOOKUP($C252,'CHART OF ACCOUNTS'!$A:$B,2,FALSE),"")</f>
        <v/>
      </c>
      <c r="E252" s="6" t="n"/>
      <c r="F252" s="6" t="n"/>
      <c r="G252" s="6" t="n"/>
      <c r="H252" s="6" t="n"/>
      <c r="I252" s="10" t="n"/>
      <c r="J252" s="10" t="n"/>
      <c r="K252" s="6" t="n"/>
      <c r="L252" s="6" t="n"/>
      <c r="M252" s="6" t="n"/>
    </row>
    <row r="253">
      <c r="A253" s="7" t="n"/>
      <c r="B253" s="6" t="n"/>
      <c r="C253" s="6" t="n"/>
      <c r="D253">
        <f>IFERROR(VLOOKUP($C253,'CHART OF ACCOUNTS'!$A:$B,2,FALSE),"")</f>
        <v/>
      </c>
      <c r="E253" s="6" t="n"/>
      <c r="F253" s="6" t="n"/>
      <c r="G253" s="6" t="n"/>
      <c r="H253" s="6" t="n"/>
      <c r="I253" s="10" t="n"/>
      <c r="J253" s="10" t="n"/>
      <c r="K253" s="6" t="n"/>
      <c r="L253" s="6" t="n"/>
      <c r="M253" s="6" t="n"/>
    </row>
    <row r="254">
      <c r="A254" s="7" t="n"/>
      <c r="B254" s="6" t="n"/>
      <c r="C254" s="6" t="n"/>
      <c r="D254">
        <f>IFERROR(VLOOKUP($C254,'CHART OF ACCOUNTS'!$A:$B,2,FALSE),"")</f>
        <v/>
      </c>
      <c r="E254" s="6" t="n"/>
      <c r="F254" s="6" t="n"/>
      <c r="G254" s="6" t="n"/>
      <c r="H254" s="6" t="n"/>
      <c r="I254" s="10" t="n"/>
      <c r="J254" s="10" t="n"/>
      <c r="K254" s="6" t="n"/>
      <c r="L254" s="6" t="n"/>
      <c r="M254" s="6" t="n"/>
    </row>
    <row r="255">
      <c r="A255" s="7" t="n"/>
      <c r="B255" s="6" t="n"/>
      <c r="C255" s="6" t="n"/>
      <c r="D255">
        <f>IFERROR(VLOOKUP($C255,'CHART OF ACCOUNTS'!$A:$B,2,FALSE),"")</f>
        <v/>
      </c>
      <c r="E255" s="6" t="n"/>
      <c r="F255" s="6" t="n"/>
      <c r="G255" s="6" t="n"/>
      <c r="H255" s="6" t="n"/>
      <c r="I255" s="10" t="n"/>
      <c r="J255" s="10" t="n"/>
      <c r="K255" s="6" t="n"/>
      <c r="L255" s="6" t="n"/>
      <c r="M255" s="6" t="n"/>
    </row>
    <row r="256">
      <c r="A256" s="7" t="n"/>
      <c r="B256" s="6" t="n"/>
      <c r="C256" s="6" t="n"/>
      <c r="D256">
        <f>IFERROR(VLOOKUP($C256,'CHART OF ACCOUNTS'!$A:$B,2,FALSE),"")</f>
        <v/>
      </c>
      <c r="E256" s="6" t="n"/>
      <c r="F256" s="6" t="n"/>
      <c r="G256" s="6" t="n"/>
      <c r="H256" s="6" t="n"/>
      <c r="I256" s="10" t="n"/>
      <c r="J256" s="10" t="n"/>
      <c r="K256" s="6" t="n"/>
      <c r="L256" s="6" t="n"/>
      <c r="M256" s="6" t="n"/>
    </row>
    <row r="257">
      <c r="A257" s="7" t="n"/>
      <c r="B257" s="6" t="n"/>
      <c r="C257" s="6" t="n"/>
      <c r="D257">
        <f>IFERROR(VLOOKUP($C257,'CHART OF ACCOUNTS'!$A:$B,2,FALSE),"")</f>
        <v/>
      </c>
      <c r="E257" s="6" t="n"/>
      <c r="F257" s="6" t="n"/>
      <c r="G257" s="6" t="n"/>
      <c r="H257" s="6" t="n"/>
      <c r="I257" s="10" t="n"/>
      <c r="J257" s="10" t="n"/>
      <c r="K257" s="6" t="n"/>
      <c r="L257" s="6" t="n"/>
      <c r="M257" s="6" t="n"/>
    </row>
    <row r="258">
      <c r="A258" s="7" t="n"/>
      <c r="B258" s="6" t="n"/>
      <c r="C258" s="6" t="n"/>
      <c r="D258">
        <f>IFERROR(VLOOKUP($C258,'CHART OF ACCOUNTS'!$A:$B,2,FALSE),"")</f>
        <v/>
      </c>
      <c r="E258" s="6" t="n"/>
      <c r="F258" s="6" t="n"/>
      <c r="G258" s="6" t="n"/>
      <c r="H258" s="6" t="n"/>
      <c r="I258" s="10" t="n"/>
      <c r="J258" s="10" t="n"/>
      <c r="K258" s="6" t="n"/>
      <c r="L258" s="6" t="n"/>
      <c r="M258" s="6" t="n"/>
    </row>
    <row r="259">
      <c r="A259" s="7" t="n"/>
      <c r="B259" s="6" t="n"/>
      <c r="C259" s="6" t="n"/>
      <c r="D259">
        <f>IFERROR(VLOOKUP($C259,'CHART OF ACCOUNTS'!$A:$B,2,FALSE),"")</f>
        <v/>
      </c>
      <c r="E259" s="6" t="n"/>
      <c r="F259" s="6" t="n"/>
      <c r="G259" s="6" t="n"/>
      <c r="H259" s="6" t="n"/>
      <c r="I259" s="10" t="n"/>
      <c r="J259" s="10" t="n"/>
      <c r="K259" s="6" t="n"/>
      <c r="L259" s="6" t="n"/>
      <c r="M259" s="6" t="n"/>
    </row>
    <row r="260">
      <c r="A260" s="7" t="n"/>
      <c r="B260" s="6" t="n"/>
      <c r="C260" s="6" t="n"/>
      <c r="D260">
        <f>IFERROR(VLOOKUP($C260,'CHART OF ACCOUNTS'!$A:$B,2,FALSE),"")</f>
        <v/>
      </c>
      <c r="E260" s="6" t="n"/>
      <c r="F260" s="6" t="n"/>
      <c r="G260" s="6" t="n"/>
      <c r="H260" s="6" t="n"/>
      <c r="I260" s="10" t="n"/>
      <c r="J260" s="10" t="n"/>
      <c r="K260" s="6" t="n"/>
      <c r="L260" s="6" t="n"/>
      <c r="M260" s="6" t="n"/>
    </row>
    <row r="261">
      <c r="A261" s="7" t="n"/>
      <c r="B261" s="6" t="n"/>
      <c r="C261" s="6" t="n"/>
      <c r="D261">
        <f>IFERROR(VLOOKUP($C261,'CHART OF ACCOUNTS'!$A:$B,2,FALSE),"")</f>
        <v/>
      </c>
      <c r="E261" s="6" t="n"/>
      <c r="F261" s="6" t="n"/>
      <c r="G261" s="6" t="n"/>
      <c r="H261" s="6" t="n"/>
      <c r="I261" s="10" t="n"/>
      <c r="J261" s="10" t="n"/>
      <c r="K261" s="6" t="n"/>
      <c r="L261" s="6" t="n"/>
      <c r="M261" s="6" t="n"/>
    </row>
    <row r="262">
      <c r="A262" s="7" t="n"/>
      <c r="B262" s="6" t="n"/>
      <c r="C262" s="6" t="n"/>
      <c r="D262">
        <f>IFERROR(VLOOKUP($C262,'CHART OF ACCOUNTS'!$A:$B,2,FALSE),"")</f>
        <v/>
      </c>
      <c r="E262" s="6" t="n"/>
      <c r="F262" s="6" t="n"/>
      <c r="G262" s="6" t="n"/>
      <c r="H262" s="6" t="n"/>
      <c r="I262" s="10" t="n"/>
      <c r="J262" s="10" t="n"/>
      <c r="K262" s="6" t="n"/>
      <c r="L262" s="6" t="n"/>
      <c r="M262" s="6" t="n"/>
    </row>
    <row r="263">
      <c r="A263" s="7" t="n"/>
      <c r="B263" s="6" t="n"/>
      <c r="C263" s="6" t="n"/>
      <c r="D263">
        <f>IFERROR(VLOOKUP($C263,'CHART OF ACCOUNTS'!$A:$B,2,FALSE),"")</f>
        <v/>
      </c>
      <c r="E263" s="6" t="n"/>
      <c r="F263" s="6" t="n"/>
      <c r="G263" s="6" t="n"/>
      <c r="H263" s="6" t="n"/>
      <c r="I263" s="10" t="n"/>
      <c r="J263" s="10" t="n"/>
      <c r="K263" s="6" t="n"/>
      <c r="L263" s="6" t="n"/>
      <c r="M263" s="6" t="n"/>
    </row>
    <row r="264">
      <c r="A264" s="7" t="n"/>
      <c r="B264" s="6" t="n"/>
      <c r="C264" s="6" t="n"/>
      <c r="D264">
        <f>IFERROR(VLOOKUP($C264,'CHART OF ACCOUNTS'!$A:$B,2,FALSE),"")</f>
        <v/>
      </c>
      <c r="E264" s="6" t="n"/>
      <c r="F264" s="6" t="n"/>
      <c r="G264" s="6" t="n"/>
      <c r="H264" s="6" t="n"/>
      <c r="I264" s="10" t="n"/>
      <c r="J264" s="10" t="n"/>
      <c r="K264" s="6" t="n"/>
      <c r="L264" s="6" t="n"/>
      <c r="M264" s="6" t="n"/>
    </row>
    <row r="265">
      <c r="A265" s="7" t="n"/>
      <c r="B265" s="6" t="n"/>
      <c r="C265" s="6" t="n"/>
      <c r="D265">
        <f>IFERROR(VLOOKUP($C265,'CHART OF ACCOUNTS'!$A:$B,2,FALSE),"")</f>
        <v/>
      </c>
      <c r="E265" s="6" t="n"/>
      <c r="F265" s="6" t="n"/>
      <c r="G265" s="6" t="n"/>
      <c r="H265" s="6" t="n"/>
      <c r="I265" s="10" t="n"/>
      <c r="J265" s="10" t="n"/>
      <c r="K265" s="6" t="n"/>
      <c r="L265" s="6" t="n"/>
      <c r="M265" s="6" t="n"/>
    </row>
    <row r="266">
      <c r="A266" s="7" t="n"/>
      <c r="B266" s="6" t="n"/>
      <c r="C266" s="6" t="n"/>
      <c r="D266">
        <f>IFERROR(VLOOKUP($C266,'CHART OF ACCOUNTS'!$A:$B,2,FALSE),"")</f>
        <v/>
      </c>
      <c r="E266" s="6" t="n"/>
      <c r="F266" s="6" t="n"/>
      <c r="G266" s="6" t="n"/>
      <c r="H266" s="6" t="n"/>
      <c r="I266" s="10" t="n"/>
      <c r="J266" s="10" t="n"/>
      <c r="K266" s="6" t="n"/>
      <c r="L266" s="6" t="n"/>
      <c r="M266" s="6" t="n"/>
    </row>
    <row r="267">
      <c r="A267" s="7" t="n"/>
      <c r="B267" s="6" t="n"/>
      <c r="C267" s="6" t="n"/>
      <c r="D267">
        <f>IFERROR(VLOOKUP($C267,'CHART OF ACCOUNTS'!$A:$B,2,FALSE),"")</f>
        <v/>
      </c>
      <c r="E267" s="6" t="n"/>
      <c r="F267" s="6" t="n"/>
      <c r="G267" s="6" t="n"/>
      <c r="H267" s="6" t="n"/>
      <c r="I267" s="10" t="n"/>
      <c r="J267" s="10" t="n"/>
      <c r="K267" s="6" t="n"/>
      <c r="L267" s="6" t="n"/>
      <c r="M267" s="6" t="n"/>
    </row>
    <row r="268">
      <c r="A268" s="7" t="n"/>
      <c r="B268" s="6" t="n"/>
      <c r="C268" s="6" t="n"/>
      <c r="D268">
        <f>IFERROR(VLOOKUP($C268,'CHART OF ACCOUNTS'!$A:$B,2,FALSE),"")</f>
        <v/>
      </c>
      <c r="E268" s="6" t="n"/>
      <c r="F268" s="6" t="n"/>
      <c r="G268" s="6" t="n"/>
      <c r="H268" s="6" t="n"/>
      <c r="I268" s="10" t="n"/>
      <c r="J268" s="10" t="n"/>
      <c r="K268" s="6" t="n"/>
      <c r="L268" s="6" t="n"/>
      <c r="M268" s="6" t="n"/>
    </row>
    <row r="269">
      <c r="A269" s="7" t="n"/>
      <c r="B269" s="6" t="n"/>
      <c r="C269" s="6" t="n"/>
      <c r="D269">
        <f>IFERROR(VLOOKUP($C269,'CHART OF ACCOUNTS'!$A:$B,2,FALSE),"")</f>
        <v/>
      </c>
      <c r="E269" s="6" t="n"/>
      <c r="F269" s="6" t="n"/>
      <c r="G269" s="6" t="n"/>
      <c r="H269" s="6" t="n"/>
      <c r="I269" s="10" t="n"/>
      <c r="J269" s="10" t="n"/>
      <c r="K269" s="6" t="n"/>
      <c r="L269" s="6" t="n"/>
      <c r="M269" s="6" t="n"/>
    </row>
    <row r="270">
      <c r="A270" s="7" t="n"/>
      <c r="B270" s="6" t="n"/>
      <c r="C270" s="6" t="n"/>
      <c r="D270">
        <f>IFERROR(VLOOKUP($C270,'CHART OF ACCOUNTS'!$A:$B,2,FALSE),"")</f>
        <v/>
      </c>
      <c r="E270" s="6" t="n"/>
      <c r="F270" s="6" t="n"/>
      <c r="G270" s="6" t="n"/>
      <c r="H270" s="6" t="n"/>
      <c r="I270" s="10" t="n"/>
      <c r="J270" s="10" t="n"/>
      <c r="K270" s="6" t="n"/>
      <c r="L270" s="6" t="n"/>
      <c r="M270" s="6" t="n"/>
    </row>
    <row r="271">
      <c r="A271" s="7" t="n"/>
      <c r="B271" s="6" t="n"/>
      <c r="C271" s="6" t="n"/>
      <c r="D271">
        <f>IFERROR(VLOOKUP($C271,'CHART OF ACCOUNTS'!$A:$B,2,FALSE),"")</f>
        <v/>
      </c>
      <c r="E271" s="6" t="n"/>
      <c r="F271" s="6" t="n"/>
      <c r="G271" s="6" t="n"/>
      <c r="H271" s="6" t="n"/>
      <c r="I271" s="10" t="n"/>
      <c r="J271" s="10" t="n"/>
      <c r="K271" s="6" t="n"/>
      <c r="L271" s="6" t="n"/>
      <c r="M271" s="6" t="n"/>
    </row>
    <row r="272">
      <c r="A272" s="7" t="n"/>
      <c r="B272" s="6" t="n"/>
      <c r="C272" s="6" t="n"/>
      <c r="D272">
        <f>IFERROR(VLOOKUP($C272,'CHART OF ACCOUNTS'!$A:$B,2,FALSE),"")</f>
        <v/>
      </c>
      <c r="E272" s="6" t="n"/>
      <c r="F272" s="6" t="n"/>
      <c r="G272" s="6" t="n"/>
      <c r="H272" s="6" t="n"/>
      <c r="I272" s="10" t="n"/>
      <c r="J272" s="10" t="n"/>
      <c r="K272" s="6" t="n"/>
      <c r="L272" s="6" t="n"/>
      <c r="M272" s="6" t="n"/>
    </row>
    <row r="273">
      <c r="A273" s="7" t="n"/>
      <c r="B273" s="6" t="n"/>
      <c r="C273" s="6" t="n"/>
      <c r="D273">
        <f>IFERROR(VLOOKUP($C273,'CHART OF ACCOUNTS'!$A:$B,2,FALSE),"")</f>
        <v/>
      </c>
      <c r="E273" s="6" t="n"/>
      <c r="F273" s="6" t="n"/>
      <c r="G273" s="6" t="n"/>
      <c r="H273" s="6" t="n"/>
      <c r="I273" s="10" t="n"/>
      <c r="J273" s="10" t="n"/>
      <c r="K273" s="6" t="n"/>
      <c r="L273" s="6" t="n"/>
      <c r="M273" s="6" t="n"/>
    </row>
    <row r="274">
      <c r="A274" s="7" t="n"/>
      <c r="B274" s="6" t="n"/>
      <c r="C274" s="6" t="n"/>
      <c r="D274">
        <f>IFERROR(VLOOKUP($C274,'CHART OF ACCOUNTS'!$A:$B,2,FALSE),"")</f>
        <v/>
      </c>
      <c r="E274" s="6" t="n"/>
      <c r="F274" s="6" t="n"/>
      <c r="G274" s="6" t="n"/>
      <c r="H274" s="6" t="n"/>
      <c r="I274" s="10" t="n"/>
      <c r="J274" s="10" t="n"/>
      <c r="K274" s="6" t="n"/>
      <c r="L274" s="6" t="n"/>
      <c r="M274" s="6" t="n"/>
    </row>
    <row r="275">
      <c r="A275" s="7" t="n"/>
      <c r="B275" s="6" t="n"/>
      <c r="C275" s="6" t="n"/>
      <c r="D275">
        <f>IFERROR(VLOOKUP($C275,'CHART OF ACCOUNTS'!$A:$B,2,FALSE),"")</f>
        <v/>
      </c>
      <c r="E275" s="6" t="n"/>
      <c r="F275" s="6" t="n"/>
      <c r="G275" s="6" t="n"/>
      <c r="H275" s="6" t="n"/>
      <c r="I275" s="10" t="n"/>
      <c r="J275" s="10" t="n"/>
      <c r="K275" s="6" t="n"/>
      <c r="L275" s="6" t="n"/>
      <c r="M275" s="6" t="n"/>
    </row>
    <row r="276">
      <c r="A276" s="7" t="n"/>
      <c r="B276" s="6" t="n"/>
      <c r="C276" s="6" t="n"/>
      <c r="D276">
        <f>IFERROR(VLOOKUP($C276,'CHART OF ACCOUNTS'!$A:$B,2,FALSE),"")</f>
        <v/>
      </c>
      <c r="E276" s="6" t="n"/>
      <c r="F276" s="6" t="n"/>
      <c r="G276" s="6" t="n"/>
      <c r="H276" s="6" t="n"/>
      <c r="I276" s="10" t="n"/>
      <c r="J276" s="10" t="n"/>
      <c r="K276" s="6" t="n"/>
      <c r="L276" s="6" t="n"/>
      <c r="M276" s="6" t="n"/>
    </row>
    <row r="277">
      <c r="A277" s="7" t="n"/>
      <c r="B277" s="6" t="n"/>
      <c r="C277" s="6" t="n"/>
      <c r="D277">
        <f>IFERROR(VLOOKUP($C277,'CHART OF ACCOUNTS'!$A:$B,2,FALSE),"")</f>
        <v/>
      </c>
      <c r="E277" s="6" t="n"/>
      <c r="F277" s="6" t="n"/>
      <c r="G277" s="6" t="n"/>
      <c r="H277" s="6" t="n"/>
      <c r="I277" s="10" t="n"/>
      <c r="J277" s="10" t="n"/>
      <c r="K277" s="6" t="n"/>
      <c r="L277" s="6" t="n"/>
      <c r="M277" s="6" t="n"/>
    </row>
    <row r="278">
      <c r="A278" s="7" t="n"/>
      <c r="B278" s="6" t="n"/>
      <c r="C278" s="6" t="n"/>
      <c r="D278">
        <f>IFERROR(VLOOKUP($C278,'CHART OF ACCOUNTS'!$A:$B,2,FALSE),"")</f>
        <v/>
      </c>
      <c r="E278" s="6" t="n"/>
      <c r="F278" s="6" t="n"/>
      <c r="G278" s="6" t="n"/>
      <c r="H278" s="6" t="n"/>
      <c r="I278" s="10" t="n"/>
      <c r="J278" s="10" t="n"/>
      <c r="K278" s="6" t="n"/>
      <c r="L278" s="6" t="n"/>
      <c r="M278" s="6" t="n"/>
    </row>
    <row r="279">
      <c r="A279" s="7" t="n"/>
      <c r="B279" s="6" t="n"/>
      <c r="C279" s="6" t="n"/>
      <c r="D279">
        <f>IFERROR(VLOOKUP($C279,'CHART OF ACCOUNTS'!$A:$B,2,FALSE),"")</f>
        <v/>
      </c>
      <c r="E279" s="6" t="n"/>
      <c r="F279" s="6" t="n"/>
      <c r="G279" s="6" t="n"/>
      <c r="H279" s="6" t="n"/>
      <c r="I279" s="10" t="n"/>
      <c r="J279" s="10" t="n"/>
      <c r="K279" s="6" t="n"/>
      <c r="L279" s="6" t="n"/>
      <c r="M279" s="6" t="n"/>
    </row>
    <row r="280">
      <c r="A280" s="7" t="n"/>
      <c r="B280" s="6" t="n"/>
      <c r="C280" s="6" t="n"/>
      <c r="D280">
        <f>IFERROR(VLOOKUP($C280,'CHART OF ACCOUNTS'!$A:$B,2,FALSE),"")</f>
        <v/>
      </c>
      <c r="E280" s="6" t="n"/>
      <c r="F280" s="6" t="n"/>
      <c r="G280" s="6" t="n"/>
      <c r="H280" s="6" t="n"/>
      <c r="I280" s="10" t="n"/>
      <c r="J280" s="10" t="n"/>
      <c r="K280" s="6" t="n"/>
      <c r="L280" s="6" t="n"/>
      <c r="M280" s="6" t="n"/>
    </row>
    <row r="281">
      <c r="A281" s="7" t="n"/>
      <c r="B281" s="6" t="n"/>
      <c r="C281" s="6" t="n"/>
      <c r="D281">
        <f>IFERROR(VLOOKUP($C281,'CHART OF ACCOUNTS'!$A:$B,2,FALSE),"")</f>
        <v/>
      </c>
      <c r="E281" s="6" t="n"/>
      <c r="F281" s="6" t="n"/>
      <c r="G281" s="6" t="n"/>
      <c r="H281" s="6" t="n"/>
      <c r="I281" s="10" t="n"/>
      <c r="J281" s="10" t="n"/>
      <c r="K281" s="6" t="n"/>
      <c r="L281" s="6" t="n"/>
      <c r="M281" s="6" t="n"/>
    </row>
    <row r="282">
      <c r="A282" s="7" t="n"/>
      <c r="B282" s="6" t="n"/>
      <c r="C282" s="6" t="n"/>
      <c r="D282">
        <f>IFERROR(VLOOKUP($C282,'CHART OF ACCOUNTS'!$A:$B,2,FALSE),"")</f>
        <v/>
      </c>
      <c r="E282" s="6" t="n"/>
      <c r="F282" s="6" t="n"/>
      <c r="G282" s="6" t="n"/>
      <c r="H282" s="6" t="n"/>
      <c r="I282" s="10" t="n"/>
      <c r="J282" s="10" t="n"/>
      <c r="K282" s="6" t="n"/>
      <c r="L282" s="6" t="n"/>
      <c r="M282" s="6" t="n"/>
    </row>
    <row r="283">
      <c r="A283" s="7" t="n"/>
      <c r="B283" s="6" t="n"/>
      <c r="C283" s="6" t="n"/>
      <c r="D283">
        <f>IFERROR(VLOOKUP($C283,'CHART OF ACCOUNTS'!$A:$B,2,FALSE),"")</f>
        <v/>
      </c>
      <c r="E283" s="6" t="n"/>
      <c r="F283" s="6" t="n"/>
      <c r="G283" s="6" t="n"/>
      <c r="H283" s="6" t="n"/>
      <c r="I283" s="10" t="n"/>
      <c r="J283" s="10" t="n"/>
      <c r="K283" s="6" t="n"/>
      <c r="L283" s="6" t="n"/>
      <c r="M283" s="6" t="n"/>
    </row>
    <row r="284">
      <c r="A284" s="7" t="n"/>
      <c r="B284" s="6" t="n"/>
      <c r="C284" s="6" t="n"/>
      <c r="D284">
        <f>IFERROR(VLOOKUP($C284,'CHART OF ACCOUNTS'!$A:$B,2,FALSE),"")</f>
        <v/>
      </c>
      <c r="E284" s="6" t="n"/>
      <c r="F284" s="6" t="n"/>
      <c r="G284" s="6" t="n"/>
      <c r="H284" s="6" t="n"/>
      <c r="I284" s="10" t="n"/>
      <c r="J284" s="10" t="n"/>
      <c r="K284" s="6" t="n"/>
      <c r="L284" s="6" t="n"/>
      <c r="M284" s="6" t="n"/>
    </row>
    <row r="285">
      <c r="A285" s="7" t="n"/>
      <c r="B285" s="6" t="n"/>
      <c r="C285" s="6" t="n"/>
      <c r="D285">
        <f>IFERROR(VLOOKUP($C285,'CHART OF ACCOUNTS'!$A:$B,2,FALSE),"")</f>
        <v/>
      </c>
      <c r="E285" s="6" t="n"/>
      <c r="F285" s="6" t="n"/>
      <c r="G285" s="6" t="n"/>
      <c r="H285" s="6" t="n"/>
      <c r="I285" s="10" t="n"/>
      <c r="J285" s="10" t="n"/>
      <c r="K285" s="6" t="n"/>
      <c r="L285" s="6" t="n"/>
      <c r="M285" s="6" t="n"/>
    </row>
    <row r="286">
      <c r="A286" s="7" t="n"/>
      <c r="B286" s="6" t="n"/>
      <c r="C286" s="6" t="n"/>
      <c r="D286">
        <f>IFERROR(VLOOKUP($C286,'CHART OF ACCOUNTS'!$A:$B,2,FALSE),"")</f>
        <v/>
      </c>
      <c r="E286" s="6" t="n"/>
      <c r="F286" s="6" t="n"/>
      <c r="G286" s="6" t="n"/>
      <c r="H286" s="6" t="n"/>
      <c r="I286" s="10" t="n"/>
      <c r="J286" s="10" t="n"/>
      <c r="K286" s="6" t="n"/>
      <c r="L286" s="6" t="n"/>
      <c r="M286" s="6" t="n"/>
    </row>
    <row r="287">
      <c r="A287" s="7" t="n"/>
      <c r="B287" s="6" t="n"/>
      <c r="C287" s="6" t="n"/>
      <c r="D287">
        <f>IFERROR(VLOOKUP($C287,'CHART OF ACCOUNTS'!$A:$B,2,FALSE),"")</f>
        <v/>
      </c>
      <c r="E287" s="6" t="n"/>
      <c r="F287" s="6" t="n"/>
      <c r="G287" s="6" t="n"/>
      <c r="H287" s="6" t="n"/>
      <c r="I287" s="10" t="n"/>
      <c r="J287" s="10" t="n"/>
      <c r="K287" s="6" t="n"/>
      <c r="L287" s="6" t="n"/>
      <c r="M287" s="6" t="n"/>
    </row>
    <row r="288">
      <c r="A288" s="7" t="n"/>
      <c r="B288" s="6" t="n"/>
      <c r="C288" s="6" t="n"/>
      <c r="D288">
        <f>IFERROR(VLOOKUP($C288,'CHART OF ACCOUNTS'!$A:$B,2,FALSE),"")</f>
        <v/>
      </c>
      <c r="E288" s="6" t="n"/>
      <c r="F288" s="6" t="n"/>
      <c r="G288" s="6" t="n"/>
      <c r="H288" s="6" t="n"/>
      <c r="I288" s="10" t="n"/>
      <c r="J288" s="10" t="n"/>
      <c r="K288" s="6" t="n"/>
      <c r="L288" s="6" t="n"/>
      <c r="M288" s="6" t="n"/>
    </row>
    <row r="289">
      <c r="A289" s="7" t="n"/>
      <c r="B289" s="6" t="n"/>
      <c r="C289" s="6" t="n"/>
      <c r="D289">
        <f>IFERROR(VLOOKUP($C289,'CHART OF ACCOUNTS'!$A:$B,2,FALSE),"")</f>
        <v/>
      </c>
      <c r="E289" s="6" t="n"/>
      <c r="F289" s="6" t="n"/>
      <c r="G289" s="6" t="n"/>
      <c r="H289" s="6" t="n"/>
      <c r="I289" s="10" t="n"/>
      <c r="J289" s="10" t="n"/>
      <c r="K289" s="6" t="n"/>
      <c r="L289" s="6" t="n"/>
      <c r="M289" s="6" t="n"/>
    </row>
    <row r="290">
      <c r="A290" s="7" t="n"/>
      <c r="B290" s="6" t="n"/>
      <c r="C290" s="6" t="n"/>
      <c r="D290">
        <f>IFERROR(VLOOKUP($C290,'CHART OF ACCOUNTS'!$A:$B,2,FALSE),"")</f>
        <v/>
      </c>
      <c r="E290" s="6" t="n"/>
      <c r="F290" s="6" t="n"/>
      <c r="G290" s="6" t="n"/>
      <c r="H290" s="6" t="n"/>
      <c r="I290" s="10" t="n"/>
      <c r="J290" s="10" t="n"/>
      <c r="K290" s="6" t="n"/>
      <c r="L290" s="6" t="n"/>
      <c r="M290" s="6" t="n"/>
    </row>
    <row r="291">
      <c r="A291" s="7" t="n"/>
      <c r="B291" s="6" t="n"/>
      <c r="C291" s="6" t="n"/>
      <c r="D291">
        <f>IFERROR(VLOOKUP($C291,'CHART OF ACCOUNTS'!$A:$B,2,FALSE),"")</f>
        <v/>
      </c>
      <c r="E291" s="6" t="n"/>
      <c r="F291" s="6" t="n"/>
      <c r="G291" s="6" t="n"/>
      <c r="H291" s="6" t="n"/>
      <c r="I291" s="10" t="n"/>
      <c r="J291" s="10" t="n"/>
      <c r="K291" s="6" t="n"/>
      <c r="L291" s="6" t="n"/>
      <c r="M291" s="6" t="n"/>
    </row>
    <row r="292">
      <c r="A292" s="7" t="n"/>
      <c r="B292" s="6" t="n"/>
      <c r="C292" s="6" t="n"/>
      <c r="D292">
        <f>IFERROR(VLOOKUP($C292,'CHART OF ACCOUNTS'!$A:$B,2,FALSE),"")</f>
        <v/>
      </c>
      <c r="E292" s="6" t="n"/>
      <c r="F292" s="6" t="n"/>
      <c r="G292" s="6" t="n"/>
      <c r="H292" s="6" t="n"/>
      <c r="I292" s="10" t="n"/>
      <c r="J292" s="10" t="n"/>
      <c r="K292" s="6" t="n"/>
      <c r="L292" s="6" t="n"/>
      <c r="M292" s="6" t="n"/>
    </row>
    <row r="293">
      <c r="A293" s="7" t="n"/>
      <c r="B293" s="6" t="n"/>
      <c r="C293" s="6" t="n"/>
      <c r="D293">
        <f>IFERROR(VLOOKUP($C293,'CHART OF ACCOUNTS'!$A:$B,2,FALSE),"")</f>
        <v/>
      </c>
      <c r="E293" s="6" t="n"/>
      <c r="F293" s="6" t="n"/>
      <c r="G293" s="6" t="n"/>
      <c r="H293" s="6" t="n"/>
      <c r="I293" s="10" t="n"/>
      <c r="J293" s="10" t="n"/>
      <c r="K293" s="6" t="n"/>
      <c r="L293" s="6" t="n"/>
      <c r="M293" s="6" t="n"/>
    </row>
    <row r="294">
      <c r="A294" s="7" t="n"/>
      <c r="B294" s="6" t="n"/>
      <c r="C294" s="6" t="n"/>
      <c r="D294">
        <f>IFERROR(VLOOKUP($C294,'CHART OF ACCOUNTS'!$A:$B,2,FALSE),"")</f>
        <v/>
      </c>
      <c r="E294" s="6" t="n"/>
      <c r="F294" s="6" t="n"/>
      <c r="G294" s="6" t="n"/>
      <c r="H294" s="6" t="n"/>
      <c r="I294" s="10" t="n"/>
      <c r="J294" s="10" t="n"/>
      <c r="K294" s="6" t="n"/>
      <c r="L294" s="6" t="n"/>
      <c r="M294" s="6" t="n"/>
    </row>
    <row r="295">
      <c r="A295" s="7" t="n"/>
      <c r="B295" s="6" t="n"/>
      <c r="C295" s="6" t="n"/>
      <c r="D295">
        <f>IFERROR(VLOOKUP($C295,'CHART OF ACCOUNTS'!$A:$B,2,FALSE),"")</f>
        <v/>
      </c>
      <c r="E295" s="6" t="n"/>
      <c r="F295" s="6" t="n"/>
      <c r="G295" s="6" t="n"/>
      <c r="H295" s="6" t="n"/>
      <c r="I295" s="10" t="n"/>
      <c r="J295" s="10" t="n"/>
      <c r="K295" s="6" t="n"/>
      <c r="L295" s="6" t="n"/>
      <c r="M295" s="6" t="n"/>
    </row>
    <row r="296">
      <c r="A296" s="7" t="n"/>
      <c r="B296" s="6" t="n"/>
      <c r="C296" s="6" t="n"/>
      <c r="D296">
        <f>IFERROR(VLOOKUP($C296,'CHART OF ACCOUNTS'!$A:$B,2,FALSE),"")</f>
        <v/>
      </c>
      <c r="E296" s="6" t="n"/>
      <c r="F296" s="6" t="n"/>
      <c r="G296" s="6" t="n"/>
      <c r="H296" s="6" t="n"/>
      <c r="I296" s="10" t="n"/>
      <c r="J296" s="10" t="n"/>
      <c r="K296" s="6" t="n"/>
      <c r="L296" s="6" t="n"/>
      <c r="M296" s="6" t="n"/>
    </row>
    <row r="297">
      <c r="A297" s="7" t="n"/>
      <c r="B297" s="6" t="n"/>
      <c r="C297" s="6" t="n"/>
      <c r="D297">
        <f>IFERROR(VLOOKUP($C297,'CHART OF ACCOUNTS'!$A:$B,2,FALSE),"")</f>
        <v/>
      </c>
      <c r="E297" s="6" t="n"/>
      <c r="F297" s="6" t="n"/>
      <c r="G297" s="6" t="n"/>
      <c r="H297" s="6" t="n"/>
      <c r="I297" s="10" t="n"/>
      <c r="J297" s="10" t="n"/>
      <c r="K297" s="6" t="n"/>
      <c r="L297" s="6" t="n"/>
      <c r="M297" s="6" t="n"/>
    </row>
    <row r="298">
      <c r="A298" s="7" t="n"/>
      <c r="B298" s="6" t="n"/>
      <c r="C298" s="6" t="n"/>
      <c r="D298">
        <f>IFERROR(VLOOKUP($C298,'CHART OF ACCOUNTS'!$A:$B,2,FALSE),"")</f>
        <v/>
      </c>
      <c r="E298" s="6" t="n"/>
      <c r="F298" s="6" t="n"/>
      <c r="G298" s="6" t="n"/>
      <c r="H298" s="6" t="n"/>
      <c r="I298" s="10" t="n"/>
      <c r="J298" s="10" t="n"/>
      <c r="K298" s="6" t="n"/>
      <c r="L298" s="6" t="n"/>
      <c r="M298" s="6" t="n"/>
    </row>
    <row r="299">
      <c r="A299" s="7" t="n"/>
      <c r="B299" s="6" t="n"/>
      <c r="C299" s="6" t="n"/>
      <c r="D299">
        <f>IFERROR(VLOOKUP($C299,'CHART OF ACCOUNTS'!$A:$B,2,FALSE),"")</f>
        <v/>
      </c>
      <c r="E299" s="6" t="n"/>
      <c r="F299" s="6" t="n"/>
      <c r="G299" s="6" t="n"/>
      <c r="H299" s="6" t="n"/>
      <c r="I299" s="10" t="n"/>
      <c r="J299" s="10" t="n"/>
      <c r="K299" s="6" t="n"/>
      <c r="L299" s="6" t="n"/>
      <c r="M299" s="6" t="n"/>
    </row>
    <row r="300">
      <c r="A300" s="7" t="n"/>
      <c r="B300" s="6" t="n"/>
      <c r="C300" s="6" t="n"/>
      <c r="D300">
        <f>IFERROR(VLOOKUP($C300,'CHART OF ACCOUNTS'!$A:$B,2,FALSE),"")</f>
        <v/>
      </c>
      <c r="E300" s="6" t="n"/>
      <c r="F300" s="6" t="n"/>
      <c r="G300" s="6" t="n"/>
      <c r="H300" s="6" t="n"/>
      <c r="I300" s="10" t="n"/>
      <c r="J300" s="10" t="n"/>
      <c r="K300" s="6" t="n"/>
      <c r="L300" s="6" t="n"/>
      <c r="M300" s="6" t="n"/>
    </row>
    <row r="301">
      <c r="A301" s="7" t="n"/>
      <c r="B301" s="6" t="n"/>
      <c r="C301" s="6" t="n"/>
      <c r="D301">
        <f>IFERROR(VLOOKUP($C301,'CHART OF ACCOUNTS'!$A:$B,2,FALSE),"")</f>
        <v/>
      </c>
      <c r="E301" s="6" t="n"/>
      <c r="F301" s="6" t="n"/>
      <c r="G301" s="6" t="n"/>
      <c r="H301" s="6" t="n"/>
      <c r="I301" s="10" t="n"/>
      <c r="J301" s="10" t="n"/>
      <c r="K301" s="6" t="n"/>
      <c r="L301" s="6" t="n"/>
      <c r="M301" s="6" t="n"/>
    </row>
    <row r="302">
      <c r="A302" s="7" t="n"/>
      <c r="B302" s="6" t="n"/>
      <c r="C302" s="6" t="n"/>
      <c r="D302">
        <f>IFERROR(VLOOKUP($C302,'CHART OF ACCOUNTS'!$A:$B,2,FALSE),"")</f>
        <v/>
      </c>
      <c r="E302" s="6" t="n"/>
      <c r="F302" s="6" t="n"/>
      <c r="G302" s="6" t="n"/>
      <c r="H302" s="6" t="n"/>
      <c r="I302" s="10" t="n"/>
      <c r="J302" s="10" t="n"/>
      <c r="K302" s="6" t="n"/>
      <c r="L302" s="6" t="n"/>
      <c r="M302" s="6" t="n"/>
    </row>
    <row r="303">
      <c r="A303" s="7" t="n"/>
      <c r="B303" s="6" t="n"/>
      <c r="C303" s="6" t="n"/>
      <c r="D303">
        <f>IFERROR(VLOOKUP($C303,'CHART OF ACCOUNTS'!$A:$B,2,FALSE),"")</f>
        <v/>
      </c>
      <c r="E303" s="6" t="n"/>
      <c r="F303" s="6" t="n"/>
      <c r="G303" s="6" t="n"/>
      <c r="H303" s="6" t="n"/>
      <c r="I303" s="10" t="n"/>
      <c r="J303" s="10" t="n"/>
      <c r="K303" s="6" t="n"/>
      <c r="L303" s="6" t="n"/>
      <c r="M303" s="6" t="n"/>
    </row>
    <row r="304">
      <c r="A304" s="7" t="n"/>
      <c r="B304" s="6" t="n"/>
      <c r="C304" s="6" t="n"/>
      <c r="D304">
        <f>IFERROR(VLOOKUP($C304,'CHART OF ACCOUNTS'!$A:$B,2,FALSE),"")</f>
        <v/>
      </c>
      <c r="E304" s="6" t="n"/>
      <c r="F304" s="6" t="n"/>
      <c r="G304" s="6" t="n"/>
      <c r="H304" s="6" t="n"/>
      <c r="I304" s="10" t="n"/>
      <c r="J304" s="10" t="n"/>
      <c r="K304" s="6" t="n"/>
      <c r="L304" s="6" t="n"/>
      <c r="M304" s="6" t="n"/>
    </row>
    <row r="305">
      <c r="A305" s="7" t="n"/>
      <c r="B305" s="6" t="n"/>
      <c r="C305" s="6" t="n"/>
      <c r="D305">
        <f>IFERROR(VLOOKUP($C305,'CHART OF ACCOUNTS'!$A:$B,2,FALSE),"")</f>
        <v/>
      </c>
      <c r="E305" s="6" t="n"/>
      <c r="F305" s="6" t="n"/>
      <c r="G305" s="6" t="n"/>
      <c r="H305" s="6" t="n"/>
      <c r="I305" s="10" t="n"/>
      <c r="J305" s="10" t="n"/>
      <c r="K305" s="6" t="n"/>
      <c r="L305" s="6" t="n"/>
      <c r="M305" s="6" t="n"/>
    </row>
    <row r="306">
      <c r="A306" s="7" t="n"/>
      <c r="B306" s="6" t="n"/>
      <c r="C306" s="6" t="n"/>
      <c r="D306">
        <f>IFERROR(VLOOKUP($C306,'CHART OF ACCOUNTS'!$A:$B,2,FALSE),"")</f>
        <v/>
      </c>
      <c r="E306" s="6" t="n"/>
      <c r="F306" s="6" t="n"/>
      <c r="G306" s="6" t="n"/>
      <c r="H306" s="6" t="n"/>
      <c r="I306" s="10" t="n"/>
      <c r="J306" s="10" t="n"/>
      <c r="K306" s="6" t="n"/>
      <c r="L306" s="6" t="n"/>
      <c r="M306" s="6" t="n"/>
    </row>
    <row r="307">
      <c r="A307" s="7" t="n"/>
      <c r="B307" s="6" t="n"/>
      <c r="C307" s="6" t="n"/>
      <c r="D307">
        <f>IFERROR(VLOOKUP($C307,'CHART OF ACCOUNTS'!$A:$B,2,FALSE),"")</f>
        <v/>
      </c>
      <c r="E307" s="6" t="n"/>
      <c r="F307" s="6" t="n"/>
      <c r="G307" s="6" t="n"/>
      <c r="H307" s="6" t="n"/>
      <c r="I307" s="10" t="n"/>
      <c r="J307" s="10" t="n"/>
      <c r="K307" s="6" t="n"/>
      <c r="L307" s="6" t="n"/>
      <c r="M307" s="6" t="n"/>
    </row>
    <row r="308">
      <c r="A308" s="7" t="n"/>
      <c r="B308" s="6" t="n"/>
      <c r="C308" s="6" t="n"/>
      <c r="D308">
        <f>IFERROR(VLOOKUP($C308,'CHART OF ACCOUNTS'!$A:$B,2,FALSE),"")</f>
        <v/>
      </c>
      <c r="E308" s="6" t="n"/>
      <c r="F308" s="6" t="n"/>
      <c r="G308" s="6" t="n"/>
      <c r="H308" s="6" t="n"/>
      <c r="I308" s="10" t="n"/>
      <c r="J308" s="10" t="n"/>
      <c r="K308" s="6" t="n"/>
      <c r="L308" s="6" t="n"/>
      <c r="M308" s="6" t="n"/>
    </row>
    <row r="309">
      <c r="A309" s="7" t="n"/>
      <c r="B309" s="6" t="n"/>
      <c r="C309" s="6" t="n"/>
      <c r="D309">
        <f>IFERROR(VLOOKUP($C309,'CHART OF ACCOUNTS'!$A:$B,2,FALSE),"")</f>
        <v/>
      </c>
      <c r="E309" s="6" t="n"/>
      <c r="F309" s="6" t="n"/>
      <c r="G309" s="6" t="n"/>
      <c r="H309" s="6" t="n"/>
      <c r="I309" s="10" t="n"/>
      <c r="J309" s="10" t="n"/>
      <c r="K309" s="6" t="n"/>
      <c r="L309" s="6" t="n"/>
      <c r="M309" s="6" t="n"/>
    </row>
    <row r="310">
      <c r="A310" s="7" t="n"/>
      <c r="B310" s="6" t="n"/>
      <c r="C310" s="6" t="n"/>
      <c r="D310">
        <f>IFERROR(VLOOKUP($C310,'CHART OF ACCOUNTS'!$A:$B,2,FALSE),"")</f>
        <v/>
      </c>
      <c r="E310" s="6" t="n"/>
      <c r="F310" s="6" t="n"/>
      <c r="G310" s="6" t="n"/>
      <c r="H310" s="6" t="n"/>
      <c r="I310" s="10" t="n"/>
      <c r="J310" s="10" t="n"/>
      <c r="K310" s="6" t="n"/>
      <c r="L310" s="6" t="n"/>
      <c r="M310" s="6" t="n"/>
    </row>
    <row r="311">
      <c r="A311" s="7" t="n"/>
      <c r="B311" s="6" t="n"/>
      <c r="C311" s="6" t="n"/>
      <c r="D311">
        <f>IFERROR(VLOOKUP($C311,'CHART OF ACCOUNTS'!$A:$B,2,FALSE),"")</f>
        <v/>
      </c>
      <c r="E311" s="6" t="n"/>
      <c r="F311" s="6" t="n"/>
      <c r="G311" s="6" t="n"/>
      <c r="H311" s="6" t="n"/>
      <c r="I311" s="10" t="n"/>
      <c r="J311" s="10" t="n"/>
      <c r="K311" s="6" t="n"/>
      <c r="L311" s="6" t="n"/>
      <c r="M311" s="6" t="n"/>
    </row>
    <row r="312">
      <c r="A312" s="7" t="n"/>
      <c r="B312" s="6" t="n"/>
      <c r="C312" s="6" t="n"/>
      <c r="D312">
        <f>IFERROR(VLOOKUP($C312,'CHART OF ACCOUNTS'!$A:$B,2,FALSE),"")</f>
        <v/>
      </c>
      <c r="E312" s="6" t="n"/>
      <c r="F312" s="6" t="n"/>
      <c r="G312" s="6" t="n"/>
      <c r="H312" s="6" t="n"/>
      <c r="I312" s="10" t="n"/>
      <c r="J312" s="10" t="n"/>
      <c r="K312" s="6" t="n"/>
      <c r="L312" s="6" t="n"/>
      <c r="M312" s="6" t="n"/>
    </row>
    <row r="313">
      <c r="A313" s="7" t="n"/>
      <c r="B313" s="6" t="n"/>
      <c r="C313" s="6" t="n"/>
      <c r="D313">
        <f>IFERROR(VLOOKUP($C313,'CHART OF ACCOUNTS'!$A:$B,2,FALSE),"")</f>
        <v/>
      </c>
      <c r="E313" s="6" t="n"/>
      <c r="F313" s="6" t="n"/>
      <c r="G313" s="6" t="n"/>
      <c r="H313" s="6" t="n"/>
      <c r="I313" s="10" t="n"/>
      <c r="J313" s="10" t="n"/>
      <c r="K313" s="6" t="n"/>
      <c r="L313" s="6" t="n"/>
      <c r="M313" s="6" t="n"/>
    </row>
    <row r="314">
      <c r="A314" s="7" t="n"/>
      <c r="B314" s="6" t="n"/>
      <c r="C314" s="6" t="n"/>
      <c r="D314">
        <f>IFERROR(VLOOKUP($C314,'CHART OF ACCOUNTS'!$A:$B,2,FALSE),"")</f>
        <v/>
      </c>
      <c r="E314" s="6" t="n"/>
      <c r="F314" s="6" t="n"/>
      <c r="G314" s="6" t="n"/>
      <c r="H314" s="6" t="n"/>
      <c r="I314" s="10" t="n"/>
      <c r="J314" s="10" t="n"/>
      <c r="K314" s="6" t="n"/>
      <c r="L314" s="6" t="n"/>
      <c r="M314" s="6" t="n"/>
    </row>
    <row r="315">
      <c r="A315" s="7" t="n"/>
      <c r="B315" s="6" t="n"/>
      <c r="C315" s="6" t="n"/>
      <c r="D315">
        <f>IFERROR(VLOOKUP($C315,'CHART OF ACCOUNTS'!$A:$B,2,FALSE),"")</f>
        <v/>
      </c>
      <c r="E315" s="6" t="n"/>
      <c r="F315" s="6" t="n"/>
      <c r="G315" s="6" t="n"/>
      <c r="H315" s="6" t="n"/>
      <c r="I315" s="10" t="n"/>
      <c r="J315" s="10" t="n"/>
      <c r="K315" s="6" t="n"/>
      <c r="L315" s="6" t="n"/>
      <c r="M315" s="6" t="n"/>
    </row>
    <row r="316">
      <c r="A316" s="7" t="n"/>
      <c r="B316" s="6" t="n"/>
      <c r="C316" s="6" t="n"/>
      <c r="D316">
        <f>IFERROR(VLOOKUP($C316,'CHART OF ACCOUNTS'!$A:$B,2,FALSE),"")</f>
        <v/>
      </c>
      <c r="E316" s="6" t="n"/>
      <c r="F316" s="6" t="n"/>
      <c r="G316" s="6" t="n"/>
      <c r="H316" s="6" t="n"/>
      <c r="I316" s="10" t="n"/>
      <c r="J316" s="10" t="n"/>
      <c r="K316" s="6" t="n"/>
      <c r="L316" s="6" t="n"/>
      <c r="M316" s="6" t="n"/>
    </row>
    <row r="317">
      <c r="A317" s="7" t="n"/>
      <c r="B317" s="6" t="n"/>
      <c r="C317" s="6" t="n"/>
      <c r="D317">
        <f>IFERROR(VLOOKUP($C317,'CHART OF ACCOUNTS'!$A:$B,2,FALSE),"")</f>
        <v/>
      </c>
      <c r="E317" s="6" t="n"/>
      <c r="F317" s="6" t="n"/>
      <c r="G317" s="6" t="n"/>
      <c r="H317" s="6" t="n"/>
      <c r="I317" s="10" t="n"/>
      <c r="J317" s="10" t="n"/>
      <c r="K317" s="6" t="n"/>
      <c r="L317" s="6" t="n"/>
      <c r="M317" s="6" t="n"/>
    </row>
    <row r="318">
      <c r="A318" s="7" t="n"/>
      <c r="B318" s="6" t="n"/>
      <c r="C318" s="6" t="n"/>
      <c r="D318">
        <f>IFERROR(VLOOKUP($C318,'CHART OF ACCOUNTS'!$A:$B,2,FALSE),"")</f>
        <v/>
      </c>
      <c r="E318" s="6" t="n"/>
      <c r="F318" s="6" t="n"/>
      <c r="G318" s="6" t="n"/>
      <c r="H318" s="6" t="n"/>
      <c r="I318" s="10" t="n"/>
      <c r="J318" s="10" t="n"/>
      <c r="K318" s="6" t="n"/>
      <c r="L318" s="6" t="n"/>
      <c r="M318" s="6" t="n"/>
    </row>
    <row r="319">
      <c r="A319" s="7" t="n"/>
      <c r="B319" s="6" t="n"/>
      <c r="C319" s="6" t="n"/>
      <c r="D319">
        <f>IFERROR(VLOOKUP($C319,'CHART OF ACCOUNTS'!$A:$B,2,FALSE),"")</f>
        <v/>
      </c>
      <c r="E319" s="6" t="n"/>
      <c r="F319" s="6" t="n"/>
      <c r="G319" s="6" t="n"/>
      <c r="H319" s="6" t="n"/>
      <c r="I319" s="10" t="n"/>
      <c r="J319" s="10" t="n"/>
      <c r="K319" s="6" t="n"/>
      <c r="L319" s="6" t="n"/>
      <c r="M319" s="6" t="n"/>
    </row>
    <row r="320">
      <c r="A320" s="7" t="n"/>
      <c r="B320" s="6" t="n"/>
      <c r="C320" s="6" t="n"/>
      <c r="D320">
        <f>IFERROR(VLOOKUP($C320,'CHART OF ACCOUNTS'!$A:$B,2,FALSE),"")</f>
        <v/>
      </c>
      <c r="E320" s="6" t="n"/>
      <c r="F320" s="6" t="n"/>
      <c r="G320" s="6" t="n"/>
      <c r="H320" s="6" t="n"/>
      <c r="I320" s="10" t="n"/>
      <c r="J320" s="10" t="n"/>
      <c r="K320" s="6" t="n"/>
      <c r="L320" s="6" t="n"/>
      <c r="M320" s="6" t="n"/>
    </row>
    <row r="321">
      <c r="A321" s="7" t="n"/>
      <c r="B321" s="6" t="n"/>
      <c r="C321" s="6" t="n"/>
      <c r="D321">
        <f>IFERROR(VLOOKUP($C321,'CHART OF ACCOUNTS'!$A:$B,2,FALSE),"")</f>
        <v/>
      </c>
      <c r="E321" s="6" t="n"/>
      <c r="F321" s="6" t="n"/>
      <c r="G321" s="6" t="n"/>
      <c r="H321" s="6" t="n"/>
      <c r="I321" s="10" t="n"/>
      <c r="J321" s="10" t="n"/>
      <c r="K321" s="6" t="n"/>
      <c r="L321" s="6" t="n"/>
      <c r="M321" s="6" t="n"/>
    </row>
    <row r="322">
      <c r="A322" s="7" t="n"/>
      <c r="B322" s="6" t="n"/>
      <c r="C322" s="6" t="n"/>
      <c r="D322">
        <f>IFERROR(VLOOKUP($C322,'CHART OF ACCOUNTS'!$A:$B,2,FALSE),"")</f>
        <v/>
      </c>
      <c r="E322" s="6" t="n"/>
      <c r="F322" s="6" t="n"/>
      <c r="G322" s="6" t="n"/>
      <c r="H322" s="6" t="n"/>
      <c r="I322" s="10" t="n"/>
      <c r="J322" s="10" t="n"/>
      <c r="K322" s="6" t="n"/>
      <c r="L322" s="6" t="n"/>
      <c r="M322" s="6" t="n"/>
    </row>
    <row r="323">
      <c r="A323" s="7" t="n"/>
      <c r="B323" s="6" t="n"/>
      <c r="C323" s="6" t="n"/>
      <c r="D323">
        <f>IFERROR(VLOOKUP($C323,'CHART OF ACCOUNTS'!$A:$B,2,FALSE),"")</f>
        <v/>
      </c>
      <c r="E323" s="6" t="n"/>
      <c r="F323" s="6" t="n"/>
      <c r="G323" s="6" t="n"/>
      <c r="H323" s="6" t="n"/>
      <c r="I323" s="10" t="n"/>
      <c r="J323" s="10" t="n"/>
      <c r="K323" s="6" t="n"/>
      <c r="L323" s="6" t="n"/>
      <c r="M323" s="6" t="n"/>
    </row>
    <row r="324">
      <c r="A324" s="7" t="n"/>
      <c r="B324" s="6" t="n"/>
      <c r="C324" s="6" t="n"/>
      <c r="D324">
        <f>IFERROR(VLOOKUP($C324,'CHART OF ACCOUNTS'!$A:$B,2,FALSE),"")</f>
        <v/>
      </c>
      <c r="E324" s="6" t="n"/>
      <c r="F324" s="6" t="n"/>
      <c r="G324" s="6" t="n"/>
      <c r="H324" s="6" t="n"/>
      <c r="I324" s="10" t="n"/>
      <c r="J324" s="10" t="n"/>
      <c r="K324" s="6" t="n"/>
      <c r="L324" s="6" t="n"/>
      <c r="M324" s="6" t="n"/>
    </row>
    <row r="325">
      <c r="A325" s="7" t="n"/>
      <c r="B325" s="6" t="n"/>
      <c r="C325" s="6" t="n"/>
      <c r="D325">
        <f>IFERROR(VLOOKUP($C325,'CHART OF ACCOUNTS'!$A:$B,2,FALSE),"")</f>
        <v/>
      </c>
      <c r="E325" s="6" t="n"/>
      <c r="F325" s="6" t="n"/>
      <c r="G325" s="6" t="n"/>
      <c r="H325" s="6" t="n"/>
      <c r="I325" s="10" t="n"/>
      <c r="J325" s="10" t="n"/>
      <c r="K325" s="6" t="n"/>
      <c r="L325" s="6" t="n"/>
      <c r="M325" s="6" t="n"/>
    </row>
    <row r="326">
      <c r="A326" s="7" t="n"/>
      <c r="B326" s="6" t="n"/>
      <c r="C326" s="6" t="n"/>
      <c r="D326">
        <f>IFERROR(VLOOKUP($C326,'CHART OF ACCOUNTS'!$A:$B,2,FALSE),"")</f>
        <v/>
      </c>
      <c r="E326" s="6" t="n"/>
      <c r="F326" s="6" t="n"/>
      <c r="G326" s="6" t="n"/>
      <c r="H326" s="6" t="n"/>
      <c r="I326" s="10" t="n"/>
      <c r="J326" s="10" t="n"/>
      <c r="K326" s="6" t="n"/>
      <c r="L326" s="6" t="n"/>
      <c r="M326" s="6" t="n"/>
    </row>
    <row r="327">
      <c r="A327" s="7" t="n"/>
      <c r="B327" s="6" t="n"/>
      <c r="C327" s="6" t="n"/>
      <c r="D327">
        <f>IFERROR(VLOOKUP($C327,'CHART OF ACCOUNTS'!$A:$B,2,FALSE),"")</f>
        <v/>
      </c>
      <c r="E327" s="6" t="n"/>
      <c r="F327" s="6" t="n"/>
      <c r="G327" s="6" t="n"/>
      <c r="H327" s="6" t="n"/>
      <c r="I327" s="10" t="n"/>
      <c r="J327" s="10" t="n"/>
      <c r="K327" s="6" t="n"/>
      <c r="L327" s="6" t="n"/>
      <c r="M327" s="6" t="n"/>
    </row>
    <row r="328">
      <c r="A328" s="7" t="n"/>
      <c r="B328" s="6" t="n"/>
      <c r="C328" s="6" t="n"/>
      <c r="D328">
        <f>IFERROR(VLOOKUP($C328,'CHART OF ACCOUNTS'!$A:$B,2,FALSE),"")</f>
        <v/>
      </c>
      <c r="E328" s="6" t="n"/>
      <c r="F328" s="6" t="n"/>
      <c r="G328" s="6" t="n"/>
      <c r="H328" s="6" t="n"/>
      <c r="I328" s="10" t="n"/>
      <c r="J328" s="10" t="n"/>
      <c r="K328" s="6" t="n"/>
      <c r="L328" s="6" t="n"/>
      <c r="M328" s="6" t="n"/>
    </row>
    <row r="329">
      <c r="A329" s="7" t="n"/>
      <c r="B329" s="6" t="n"/>
      <c r="C329" s="6" t="n"/>
      <c r="D329">
        <f>IFERROR(VLOOKUP($C329,'CHART OF ACCOUNTS'!$A:$B,2,FALSE),"")</f>
        <v/>
      </c>
      <c r="E329" s="6" t="n"/>
      <c r="F329" s="6" t="n"/>
      <c r="G329" s="6" t="n"/>
      <c r="H329" s="6" t="n"/>
      <c r="I329" s="10" t="n"/>
      <c r="J329" s="10" t="n"/>
      <c r="K329" s="6" t="n"/>
      <c r="L329" s="6" t="n"/>
      <c r="M329" s="6" t="n"/>
    </row>
    <row r="330">
      <c r="A330" s="7" t="n"/>
      <c r="B330" s="6" t="n"/>
      <c r="C330" s="6" t="n"/>
      <c r="D330">
        <f>IFERROR(VLOOKUP($C330,'CHART OF ACCOUNTS'!$A:$B,2,FALSE),"")</f>
        <v/>
      </c>
      <c r="E330" s="6" t="n"/>
      <c r="F330" s="6" t="n"/>
      <c r="G330" s="6" t="n"/>
      <c r="H330" s="6" t="n"/>
      <c r="I330" s="10" t="n"/>
      <c r="J330" s="10" t="n"/>
      <c r="K330" s="6" t="n"/>
      <c r="L330" s="6" t="n"/>
      <c r="M330" s="6" t="n"/>
    </row>
    <row r="331">
      <c r="A331" s="7" t="n"/>
      <c r="B331" s="6" t="n"/>
      <c r="C331" s="6" t="n"/>
      <c r="D331">
        <f>IFERROR(VLOOKUP($C331,'CHART OF ACCOUNTS'!$A:$B,2,FALSE),"")</f>
        <v/>
      </c>
      <c r="E331" s="6" t="n"/>
      <c r="F331" s="6" t="n"/>
      <c r="G331" s="6" t="n"/>
      <c r="H331" s="6" t="n"/>
      <c r="I331" s="10" t="n"/>
      <c r="J331" s="10" t="n"/>
      <c r="K331" s="6" t="n"/>
      <c r="L331" s="6" t="n"/>
      <c r="M331" s="6" t="n"/>
    </row>
    <row r="332">
      <c r="A332" s="7" t="n"/>
      <c r="B332" s="6" t="n"/>
      <c r="C332" s="6" t="n"/>
      <c r="D332">
        <f>IFERROR(VLOOKUP($C332,'CHART OF ACCOUNTS'!$A:$B,2,FALSE),"")</f>
        <v/>
      </c>
      <c r="E332" s="6" t="n"/>
      <c r="F332" s="6" t="n"/>
      <c r="G332" s="6" t="n"/>
      <c r="H332" s="6" t="n"/>
      <c r="I332" s="10" t="n"/>
      <c r="J332" s="10" t="n"/>
      <c r="K332" s="6" t="n"/>
      <c r="L332" s="6" t="n"/>
      <c r="M332" s="6" t="n"/>
    </row>
    <row r="333">
      <c r="A333" s="7" t="n"/>
      <c r="B333" s="6" t="n"/>
      <c r="C333" s="6" t="n"/>
      <c r="D333">
        <f>IFERROR(VLOOKUP($C333,'CHART OF ACCOUNTS'!$A:$B,2,FALSE),"")</f>
        <v/>
      </c>
      <c r="E333" s="6" t="n"/>
      <c r="F333" s="6" t="n"/>
      <c r="G333" s="6" t="n"/>
      <c r="H333" s="6" t="n"/>
      <c r="I333" s="10" t="n"/>
      <c r="J333" s="10" t="n"/>
      <c r="K333" s="6" t="n"/>
      <c r="L333" s="6" t="n"/>
      <c r="M333" s="6" t="n"/>
    </row>
    <row r="334">
      <c r="A334" s="7" t="n"/>
      <c r="B334" s="6" t="n"/>
      <c r="C334" s="6" t="n"/>
      <c r="D334">
        <f>IFERROR(VLOOKUP($C334,'CHART OF ACCOUNTS'!$A:$B,2,FALSE),"")</f>
        <v/>
      </c>
      <c r="E334" s="6" t="n"/>
      <c r="F334" s="6" t="n"/>
      <c r="G334" s="6" t="n"/>
      <c r="H334" s="6" t="n"/>
      <c r="I334" s="10" t="n"/>
      <c r="J334" s="10" t="n"/>
      <c r="K334" s="6" t="n"/>
      <c r="L334" s="6" t="n"/>
      <c r="M334" s="6" t="n"/>
    </row>
    <row r="335">
      <c r="A335" s="7" t="n"/>
      <c r="B335" s="6" t="n"/>
      <c r="C335" s="6" t="n"/>
      <c r="D335">
        <f>IFERROR(VLOOKUP($C335,'CHART OF ACCOUNTS'!$A:$B,2,FALSE),"")</f>
        <v/>
      </c>
      <c r="E335" s="6" t="n"/>
      <c r="F335" s="6" t="n"/>
      <c r="G335" s="6" t="n"/>
      <c r="H335" s="6" t="n"/>
      <c r="I335" s="10" t="n"/>
      <c r="J335" s="10" t="n"/>
      <c r="K335" s="6" t="n"/>
      <c r="L335" s="6" t="n"/>
      <c r="M335" s="6" t="n"/>
    </row>
    <row r="336">
      <c r="A336" s="7" t="n"/>
      <c r="B336" s="6" t="n"/>
      <c r="C336" s="6" t="n"/>
      <c r="D336">
        <f>IFERROR(VLOOKUP($C336,'CHART OF ACCOUNTS'!$A:$B,2,FALSE),"")</f>
        <v/>
      </c>
      <c r="E336" s="6" t="n"/>
      <c r="F336" s="6" t="n"/>
      <c r="G336" s="6" t="n"/>
      <c r="H336" s="6" t="n"/>
      <c r="I336" s="10" t="n"/>
      <c r="J336" s="10" t="n"/>
      <c r="K336" s="6" t="n"/>
      <c r="L336" s="6" t="n"/>
      <c r="M336" s="6" t="n"/>
    </row>
    <row r="337">
      <c r="A337" s="7" t="n"/>
      <c r="B337" s="6" t="n"/>
      <c r="C337" s="6" t="n"/>
      <c r="D337">
        <f>IFERROR(VLOOKUP($C337,'CHART OF ACCOUNTS'!$A:$B,2,FALSE),"")</f>
        <v/>
      </c>
      <c r="E337" s="6" t="n"/>
      <c r="F337" s="6" t="n"/>
      <c r="G337" s="6" t="n"/>
      <c r="H337" s="6" t="n"/>
      <c r="I337" s="10" t="n"/>
      <c r="J337" s="10" t="n"/>
      <c r="K337" s="6" t="n"/>
      <c r="L337" s="6" t="n"/>
      <c r="M337" s="6" t="n"/>
    </row>
    <row r="338">
      <c r="A338" s="7" t="n"/>
      <c r="B338" s="6" t="n"/>
      <c r="C338" s="6" t="n"/>
      <c r="D338">
        <f>IFERROR(VLOOKUP($C338,'CHART OF ACCOUNTS'!$A:$B,2,FALSE),"")</f>
        <v/>
      </c>
      <c r="E338" s="6" t="n"/>
      <c r="F338" s="6" t="n"/>
      <c r="G338" s="6" t="n"/>
      <c r="H338" s="6" t="n"/>
      <c r="I338" s="10" t="n"/>
      <c r="J338" s="10" t="n"/>
      <c r="K338" s="6" t="n"/>
      <c r="L338" s="6" t="n"/>
      <c r="M338" s="6" t="n"/>
    </row>
    <row r="339">
      <c r="A339" s="7" t="n"/>
      <c r="B339" s="6" t="n"/>
      <c r="C339" s="6" t="n"/>
      <c r="D339">
        <f>IFERROR(VLOOKUP($C339,'CHART OF ACCOUNTS'!$A:$B,2,FALSE),"")</f>
        <v/>
      </c>
      <c r="E339" s="6" t="n"/>
      <c r="F339" s="6" t="n"/>
      <c r="G339" s="6" t="n"/>
      <c r="H339" s="6" t="n"/>
      <c r="I339" s="10" t="n"/>
      <c r="J339" s="10" t="n"/>
      <c r="K339" s="6" t="n"/>
      <c r="L339" s="6" t="n"/>
      <c r="M339" s="6" t="n"/>
    </row>
    <row r="340">
      <c r="A340" s="7" t="n"/>
      <c r="B340" s="6" t="n"/>
      <c r="C340" s="6" t="n"/>
      <c r="D340">
        <f>IFERROR(VLOOKUP($C340,'CHART OF ACCOUNTS'!$A:$B,2,FALSE),"")</f>
        <v/>
      </c>
      <c r="E340" s="6" t="n"/>
      <c r="F340" s="6" t="n"/>
      <c r="G340" s="6" t="n"/>
      <c r="H340" s="6" t="n"/>
      <c r="I340" s="10" t="n"/>
      <c r="J340" s="10" t="n"/>
      <c r="K340" s="6" t="n"/>
      <c r="L340" s="6" t="n"/>
      <c r="M340" s="6" t="n"/>
    </row>
    <row r="341">
      <c r="A341" s="7" t="n"/>
      <c r="B341" s="6" t="n"/>
      <c r="C341" s="6" t="n"/>
      <c r="D341">
        <f>IFERROR(VLOOKUP($C341,'CHART OF ACCOUNTS'!$A:$B,2,FALSE),"")</f>
        <v/>
      </c>
      <c r="E341" s="6" t="n"/>
      <c r="F341" s="6" t="n"/>
      <c r="G341" s="6" t="n"/>
      <c r="H341" s="6" t="n"/>
      <c r="I341" s="10" t="n"/>
      <c r="J341" s="10" t="n"/>
      <c r="K341" s="6" t="n"/>
      <c r="L341" s="6" t="n"/>
      <c r="M341" s="6" t="n"/>
    </row>
    <row r="342">
      <c r="A342" s="7" t="n"/>
      <c r="B342" s="6" t="n"/>
      <c r="C342" s="6" t="n"/>
      <c r="D342">
        <f>IFERROR(VLOOKUP($C342,'CHART OF ACCOUNTS'!$A:$B,2,FALSE),"")</f>
        <v/>
      </c>
      <c r="E342" s="6" t="n"/>
      <c r="F342" s="6" t="n"/>
      <c r="G342" s="6" t="n"/>
      <c r="H342" s="6" t="n"/>
      <c r="I342" s="10" t="n"/>
      <c r="J342" s="10" t="n"/>
      <c r="K342" s="6" t="n"/>
      <c r="L342" s="6" t="n"/>
      <c r="M342" s="6" t="n"/>
    </row>
    <row r="343">
      <c r="A343" s="7" t="n"/>
      <c r="B343" s="6" t="n"/>
      <c r="C343" s="6" t="n"/>
      <c r="D343">
        <f>IFERROR(VLOOKUP($C343,'CHART OF ACCOUNTS'!$A:$B,2,FALSE),"")</f>
        <v/>
      </c>
      <c r="E343" s="6" t="n"/>
      <c r="F343" s="6" t="n"/>
      <c r="G343" s="6" t="n"/>
      <c r="H343" s="6" t="n"/>
      <c r="I343" s="10" t="n"/>
      <c r="J343" s="10" t="n"/>
      <c r="K343" s="6" t="n"/>
      <c r="L343" s="6" t="n"/>
      <c r="M343" s="6" t="n"/>
    </row>
    <row r="344">
      <c r="A344" s="7" t="n"/>
      <c r="B344" s="6" t="n"/>
      <c r="C344" s="6" t="n"/>
      <c r="D344">
        <f>IFERROR(VLOOKUP($C344,'CHART OF ACCOUNTS'!$A:$B,2,FALSE),"")</f>
        <v/>
      </c>
      <c r="E344" s="6" t="n"/>
      <c r="F344" s="6" t="n"/>
      <c r="G344" s="6" t="n"/>
      <c r="H344" s="6" t="n"/>
      <c r="I344" s="10" t="n"/>
      <c r="J344" s="10" t="n"/>
      <c r="K344" s="6" t="n"/>
      <c r="L344" s="6" t="n"/>
      <c r="M344" s="6" t="n"/>
    </row>
    <row r="345">
      <c r="A345" s="7" t="n"/>
      <c r="B345" s="6" t="n"/>
      <c r="C345" s="6" t="n"/>
      <c r="D345">
        <f>IFERROR(VLOOKUP($C345,'CHART OF ACCOUNTS'!$A:$B,2,FALSE),"")</f>
        <v/>
      </c>
      <c r="E345" s="6" t="n"/>
      <c r="F345" s="6" t="n"/>
      <c r="G345" s="6" t="n"/>
      <c r="H345" s="6" t="n"/>
      <c r="I345" s="10" t="n"/>
      <c r="J345" s="10" t="n"/>
      <c r="K345" s="6" t="n"/>
      <c r="L345" s="6" t="n"/>
      <c r="M345" s="6" t="n"/>
    </row>
    <row r="346">
      <c r="A346" s="7" t="n"/>
      <c r="B346" s="6" t="n"/>
      <c r="C346" s="6" t="n"/>
      <c r="D346">
        <f>IFERROR(VLOOKUP($C346,'CHART OF ACCOUNTS'!$A:$B,2,FALSE),"")</f>
        <v/>
      </c>
      <c r="E346" s="6" t="n"/>
      <c r="F346" s="6" t="n"/>
      <c r="G346" s="6" t="n"/>
      <c r="H346" s="6" t="n"/>
      <c r="I346" s="10" t="n"/>
      <c r="J346" s="10" t="n"/>
      <c r="K346" s="6" t="n"/>
      <c r="L346" s="6" t="n"/>
      <c r="M346" s="6" t="n"/>
    </row>
    <row r="347">
      <c r="A347" s="7" t="n"/>
      <c r="B347" s="6" t="n"/>
      <c r="C347" s="6" t="n"/>
      <c r="D347">
        <f>IFERROR(VLOOKUP($C347,'CHART OF ACCOUNTS'!$A:$B,2,FALSE),"")</f>
        <v/>
      </c>
      <c r="E347" s="6" t="n"/>
      <c r="F347" s="6" t="n"/>
      <c r="G347" s="6" t="n"/>
      <c r="H347" s="6" t="n"/>
      <c r="I347" s="10" t="n"/>
      <c r="J347" s="10" t="n"/>
      <c r="K347" s="6" t="n"/>
      <c r="L347" s="6" t="n"/>
      <c r="M347" s="6" t="n"/>
    </row>
    <row r="348">
      <c r="A348" s="7" t="n"/>
      <c r="B348" s="6" t="n"/>
      <c r="C348" s="6" t="n"/>
      <c r="D348">
        <f>IFERROR(VLOOKUP($C348,'CHART OF ACCOUNTS'!$A:$B,2,FALSE),"")</f>
        <v/>
      </c>
      <c r="E348" s="6" t="n"/>
      <c r="F348" s="6" t="n"/>
      <c r="G348" s="6" t="n"/>
      <c r="H348" s="6" t="n"/>
      <c r="I348" s="10" t="n"/>
      <c r="J348" s="10" t="n"/>
      <c r="K348" s="6" t="n"/>
      <c r="L348" s="6" t="n"/>
      <c r="M348" s="6" t="n"/>
    </row>
    <row r="349">
      <c r="A349" s="7" t="n"/>
      <c r="B349" s="6" t="n"/>
      <c r="C349" s="6" t="n"/>
      <c r="D349">
        <f>IFERROR(VLOOKUP($C349,'CHART OF ACCOUNTS'!$A:$B,2,FALSE),"")</f>
        <v/>
      </c>
      <c r="E349" s="6" t="n"/>
      <c r="F349" s="6" t="n"/>
      <c r="G349" s="6" t="n"/>
      <c r="H349" s="6" t="n"/>
      <c r="I349" s="10" t="n"/>
      <c r="J349" s="10" t="n"/>
      <c r="K349" s="6" t="n"/>
      <c r="L349" s="6" t="n"/>
      <c r="M349" s="6" t="n"/>
    </row>
    <row r="350">
      <c r="A350" s="7" t="n"/>
      <c r="B350" s="6" t="n"/>
      <c r="C350" s="6" t="n"/>
      <c r="D350">
        <f>IFERROR(VLOOKUP($C350,'CHART OF ACCOUNTS'!$A:$B,2,FALSE),"")</f>
        <v/>
      </c>
      <c r="E350" s="6" t="n"/>
      <c r="F350" s="6" t="n"/>
      <c r="G350" s="6" t="n"/>
      <c r="H350" s="6" t="n"/>
      <c r="I350" s="10" t="n"/>
      <c r="J350" s="10" t="n"/>
      <c r="K350" s="6" t="n"/>
      <c r="L350" s="6" t="n"/>
      <c r="M350" s="6" t="n"/>
    </row>
    <row r="351">
      <c r="A351" s="7" t="n"/>
      <c r="B351" s="6" t="n"/>
      <c r="C351" s="6" t="n"/>
      <c r="D351">
        <f>IFERROR(VLOOKUP($C351,'CHART OF ACCOUNTS'!$A:$B,2,FALSE),"")</f>
        <v/>
      </c>
      <c r="E351" s="6" t="n"/>
      <c r="F351" s="6" t="n"/>
      <c r="G351" s="6" t="n"/>
      <c r="H351" s="6" t="n"/>
      <c r="I351" s="10" t="n"/>
      <c r="J351" s="10" t="n"/>
      <c r="K351" s="6" t="n"/>
      <c r="L351" s="6" t="n"/>
      <c r="M351" s="6" t="n"/>
    </row>
    <row r="352">
      <c r="A352" s="7" t="n"/>
      <c r="B352" s="6" t="n"/>
      <c r="C352" s="6" t="n"/>
      <c r="D352">
        <f>IFERROR(VLOOKUP($C352,'CHART OF ACCOUNTS'!$A:$B,2,FALSE),"")</f>
        <v/>
      </c>
      <c r="E352" s="6" t="n"/>
      <c r="F352" s="6" t="n"/>
      <c r="G352" s="6" t="n"/>
      <c r="H352" s="6" t="n"/>
      <c r="I352" s="10" t="n"/>
      <c r="J352" s="10" t="n"/>
      <c r="K352" s="6" t="n"/>
      <c r="L352" s="6" t="n"/>
      <c r="M352" s="6" t="n"/>
    </row>
    <row r="353">
      <c r="A353" s="7" t="n"/>
      <c r="B353" s="6" t="n"/>
      <c r="C353" s="6" t="n"/>
      <c r="D353">
        <f>IFERROR(VLOOKUP($C353,'CHART OF ACCOUNTS'!$A:$B,2,FALSE),"")</f>
        <v/>
      </c>
      <c r="E353" s="6" t="n"/>
      <c r="F353" s="6" t="n"/>
      <c r="G353" s="6" t="n"/>
      <c r="H353" s="6" t="n"/>
      <c r="I353" s="10" t="n"/>
      <c r="J353" s="10" t="n"/>
      <c r="K353" s="6" t="n"/>
      <c r="L353" s="6" t="n"/>
      <c r="M353" s="6" t="n"/>
    </row>
    <row r="354">
      <c r="A354" s="7" t="n"/>
      <c r="B354" s="6" t="n"/>
      <c r="C354" s="6" t="n"/>
      <c r="D354">
        <f>IFERROR(VLOOKUP($C354,'CHART OF ACCOUNTS'!$A:$B,2,FALSE),"")</f>
        <v/>
      </c>
      <c r="E354" s="6" t="n"/>
      <c r="F354" s="6" t="n"/>
      <c r="G354" s="6" t="n"/>
      <c r="H354" s="6" t="n"/>
      <c r="I354" s="10" t="n"/>
      <c r="J354" s="10" t="n"/>
      <c r="K354" s="6" t="n"/>
      <c r="L354" s="6" t="n"/>
      <c r="M354" s="6" t="n"/>
    </row>
    <row r="355">
      <c r="A355" s="7" t="n"/>
      <c r="B355" s="6" t="n"/>
      <c r="C355" s="6" t="n"/>
      <c r="D355">
        <f>IFERROR(VLOOKUP($C355,'CHART OF ACCOUNTS'!$A:$B,2,FALSE),"")</f>
        <v/>
      </c>
      <c r="E355" s="6" t="n"/>
      <c r="F355" s="6" t="n"/>
      <c r="G355" s="6" t="n"/>
      <c r="H355" s="6" t="n"/>
      <c r="I355" s="10" t="n"/>
      <c r="J355" s="10" t="n"/>
      <c r="K355" s="6" t="n"/>
      <c r="L355" s="6" t="n"/>
      <c r="M355" s="6" t="n"/>
    </row>
    <row r="356">
      <c r="A356" s="7" t="n"/>
      <c r="B356" s="6" t="n"/>
      <c r="C356" s="6" t="n"/>
      <c r="D356">
        <f>IFERROR(VLOOKUP($C356,'CHART OF ACCOUNTS'!$A:$B,2,FALSE),"")</f>
        <v/>
      </c>
      <c r="E356" s="6" t="n"/>
      <c r="F356" s="6" t="n"/>
      <c r="G356" s="6" t="n"/>
      <c r="H356" s="6" t="n"/>
      <c r="I356" s="10" t="n"/>
      <c r="J356" s="10" t="n"/>
      <c r="K356" s="6" t="n"/>
      <c r="L356" s="6" t="n"/>
      <c r="M356" s="6" t="n"/>
    </row>
    <row r="357">
      <c r="A357" s="7" t="n"/>
      <c r="B357" s="6" t="n"/>
      <c r="C357" s="6" t="n"/>
      <c r="D357">
        <f>IFERROR(VLOOKUP($C357,'CHART OF ACCOUNTS'!$A:$B,2,FALSE),"")</f>
        <v/>
      </c>
      <c r="E357" s="6" t="n"/>
      <c r="F357" s="6" t="n"/>
      <c r="G357" s="6" t="n"/>
      <c r="H357" s="6" t="n"/>
      <c r="I357" s="10" t="n"/>
      <c r="J357" s="10" t="n"/>
      <c r="K357" s="6" t="n"/>
      <c r="L357" s="6" t="n"/>
      <c r="M357" s="6" t="n"/>
    </row>
    <row r="358">
      <c r="A358" s="7" t="n"/>
      <c r="B358" s="6" t="n"/>
      <c r="C358" s="6" t="n"/>
      <c r="D358">
        <f>IFERROR(VLOOKUP($C358,'CHART OF ACCOUNTS'!$A:$B,2,FALSE),"")</f>
        <v/>
      </c>
      <c r="E358" s="6" t="n"/>
      <c r="F358" s="6" t="n"/>
      <c r="G358" s="6" t="n"/>
      <c r="H358" s="6" t="n"/>
      <c r="I358" s="10" t="n"/>
      <c r="J358" s="10" t="n"/>
      <c r="K358" s="6" t="n"/>
      <c r="L358" s="6" t="n"/>
      <c r="M358" s="6" t="n"/>
    </row>
    <row r="359">
      <c r="A359" s="7" t="n"/>
      <c r="B359" s="6" t="n"/>
      <c r="C359" s="6" t="n"/>
      <c r="D359">
        <f>IFERROR(VLOOKUP($C359,'CHART OF ACCOUNTS'!$A:$B,2,FALSE),"")</f>
        <v/>
      </c>
      <c r="E359" s="6" t="n"/>
      <c r="F359" s="6" t="n"/>
      <c r="G359" s="6" t="n"/>
      <c r="H359" s="6" t="n"/>
      <c r="I359" s="10" t="n"/>
      <c r="J359" s="10" t="n"/>
      <c r="K359" s="6" t="n"/>
      <c r="L359" s="6" t="n"/>
      <c r="M359" s="6" t="n"/>
    </row>
    <row r="360">
      <c r="A360" s="7" t="n"/>
      <c r="B360" s="6" t="n"/>
      <c r="C360" s="6" t="n"/>
      <c r="D360">
        <f>IFERROR(VLOOKUP($C360,'CHART OF ACCOUNTS'!$A:$B,2,FALSE),"")</f>
        <v/>
      </c>
      <c r="E360" s="6" t="n"/>
      <c r="F360" s="6" t="n"/>
      <c r="G360" s="6" t="n"/>
      <c r="H360" s="6" t="n"/>
      <c r="I360" s="10" t="n"/>
      <c r="J360" s="10" t="n"/>
      <c r="K360" s="6" t="n"/>
      <c r="L360" s="6" t="n"/>
      <c r="M360" s="6" t="n"/>
    </row>
    <row r="361">
      <c r="A361" s="7" t="n"/>
      <c r="B361" s="6" t="n"/>
      <c r="C361" s="6" t="n"/>
      <c r="D361">
        <f>IFERROR(VLOOKUP($C361,'CHART OF ACCOUNTS'!$A:$B,2,FALSE),"")</f>
        <v/>
      </c>
      <c r="E361" s="6" t="n"/>
      <c r="F361" s="6" t="n"/>
      <c r="G361" s="6" t="n"/>
      <c r="H361" s="6" t="n"/>
      <c r="I361" s="10" t="n"/>
      <c r="J361" s="10" t="n"/>
      <c r="K361" s="6" t="n"/>
      <c r="L361" s="6" t="n"/>
      <c r="M361" s="6" t="n"/>
    </row>
    <row r="362">
      <c r="A362" s="7" t="n"/>
      <c r="B362" s="6" t="n"/>
      <c r="C362" s="6" t="n"/>
      <c r="D362">
        <f>IFERROR(VLOOKUP($C362,'CHART OF ACCOUNTS'!$A:$B,2,FALSE),"")</f>
        <v/>
      </c>
      <c r="E362" s="6" t="n"/>
      <c r="F362" s="6" t="n"/>
      <c r="G362" s="6" t="n"/>
      <c r="H362" s="6" t="n"/>
      <c r="I362" s="10" t="n"/>
      <c r="J362" s="10" t="n"/>
      <c r="K362" s="6" t="n"/>
      <c r="L362" s="6" t="n"/>
      <c r="M362" s="6" t="n"/>
    </row>
    <row r="363">
      <c r="A363" s="7" t="n"/>
      <c r="B363" s="6" t="n"/>
      <c r="C363" s="6" t="n"/>
      <c r="D363">
        <f>IFERROR(VLOOKUP($C363,'CHART OF ACCOUNTS'!$A:$B,2,FALSE),"")</f>
        <v/>
      </c>
      <c r="E363" s="6" t="n"/>
      <c r="F363" s="6" t="n"/>
      <c r="G363" s="6" t="n"/>
      <c r="H363" s="6" t="n"/>
      <c r="I363" s="10" t="n"/>
      <c r="J363" s="10" t="n"/>
      <c r="K363" s="6" t="n"/>
      <c r="L363" s="6" t="n"/>
      <c r="M363" s="6" t="n"/>
    </row>
    <row r="364">
      <c r="A364" s="7" t="n"/>
      <c r="B364" s="6" t="n"/>
      <c r="C364" s="6" t="n"/>
      <c r="D364">
        <f>IFERROR(VLOOKUP($C364,'CHART OF ACCOUNTS'!$A:$B,2,FALSE),"")</f>
        <v/>
      </c>
      <c r="E364" s="6" t="n"/>
      <c r="F364" s="6" t="n"/>
      <c r="G364" s="6" t="n"/>
      <c r="H364" s="6" t="n"/>
      <c r="I364" s="10" t="n"/>
      <c r="J364" s="10" t="n"/>
      <c r="K364" s="6" t="n"/>
      <c r="L364" s="6" t="n"/>
      <c r="M364" s="6" t="n"/>
    </row>
    <row r="365">
      <c r="A365" s="7" t="n"/>
      <c r="B365" s="6" t="n"/>
      <c r="C365" s="6" t="n"/>
      <c r="D365">
        <f>IFERROR(VLOOKUP($C365,'CHART OF ACCOUNTS'!$A:$B,2,FALSE),"")</f>
        <v/>
      </c>
      <c r="E365" s="6" t="n"/>
      <c r="F365" s="6" t="n"/>
      <c r="G365" s="6" t="n"/>
      <c r="H365" s="6" t="n"/>
      <c r="I365" s="10" t="n"/>
      <c r="J365" s="10" t="n"/>
      <c r="K365" s="6" t="n"/>
      <c r="L365" s="6" t="n"/>
      <c r="M365" s="6" t="n"/>
    </row>
    <row r="366">
      <c r="A366" s="7" t="n"/>
      <c r="B366" s="6" t="n"/>
      <c r="C366" s="6" t="n"/>
      <c r="D366">
        <f>IFERROR(VLOOKUP($C366,'CHART OF ACCOUNTS'!$A:$B,2,FALSE),"")</f>
        <v/>
      </c>
      <c r="E366" s="6" t="n"/>
      <c r="F366" s="6" t="n"/>
      <c r="G366" s="6" t="n"/>
      <c r="H366" s="6" t="n"/>
      <c r="I366" s="10" t="n"/>
      <c r="J366" s="10" t="n"/>
      <c r="K366" s="6" t="n"/>
      <c r="L366" s="6" t="n"/>
      <c r="M366" s="6" t="n"/>
    </row>
    <row r="367">
      <c r="A367" s="7" t="n"/>
      <c r="B367" s="6" t="n"/>
      <c r="C367" s="6" t="n"/>
      <c r="D367">
        <f>IFERROR(VLOOKUP($C367,'CHART OF ACCOUNTS'!$A:$B,2,FALSE),"")</f>
        <v/>
      </c>
      <c r="E367" s="6" t="n"/>
      <c r="F367" s="6" t="n"/>
      <c r="G367" s="6" t="n"/>
      <c r="H367" s="6" t="n"/>
      <c r="I367" s="10" t="n"/>
      <c r="J367" s="10" t="n"/>
      <c r="K367" s="6" t="n"/>
      <c r="L367" s="6" t="n"/>
      <c r="M367" s="6" t="n"/>
    </row>
    <row r="368">
      <c r="A368" s="7" t="n"/>
      <c r="B368" s="6" t="n"/>
      <c r="C368" s="6" t="n"/>
      <c r="D368">
        <f>IFERROR(VLOOKUP($C368,'CHART OF ACCOUNTS'!$A:$B,2,FALSE),"")</f>
        <v/>
      </c>
      <c r="E368" s="6" t="n"/>
      <c r="F368" s="6" t="n"/>
      <c r="G368" s="6" t="n"/>
      <c r="H368" s="6" t="n"/>
      <c r="I368" s="10" t="n"/>
      <c r="J368" s="10" t="n"/>
      <c r="K368" s="6" t="n"/>
      <c r="L368" s="6" t="n"/>
      <c r="M368" s="6" t="n"/>
    </row>
    <row r="369">
      <c r="A369" s="7" t="n"/>
      <c r="B369" s="6" t="n"/>
      <c r="C369" s="6" t="n"/>
      <c r="D369">
        <f>IFERROR(VLOOKUP($C369,'CHART OF ACCOUNTS'!$A:$B,2,FALSE),"")</f>
        <v/>
      </c>
      <c r="E369" s="6" t="n"/>
      <c r="F369" s="6" t="n"/>
      <c r="G369" s="6" t="n"/>
      <c r="H369" s="6" t="n"/>
      <c r="I369" s="10" t="n"/>
      <c r="J369" s="10" t="n"/>
      <c r="K369" s="6" t="n"/>
      <c r="L369" s="6" t="n"/>
      <c r="M369" s="6" t="n"/>
    </row>
    <row r="370">
      <c r="A370" s="7" t="n"/>
      <c r="B370" s="6" t="n"/>
      <c r="C370" s="6" t="n"/>
      <c r="D370">
        <f>IFERROR(VLOOKUP($C370,'CHART OF ACCOUNTS'!$A:$B,2,FALSE),"")</f>
        <v/>
      </c>
      <c r="E370" s="6" t="n"/>
      <c r="F370" s="6" t="n"/>
      <c r="G370" s="6" t="n"/>
      <c r="H370" s="6" t="n"/>
      <c r="I370" s="10" t="n"/>
      <c r="J370" s="10" t="n"/>
      <c r="K370" s="6" t="n"/>
      <c r="L370" s="6" t="n"/>
      <c r="M370" s="6" t="n"/>
    </row>
    <row r="371">
      <c r="A371" s="7" t="n"/>
      <c r="B371" s="6" t="n"/>
      <c r="C371" s="6" t="n"/>
      <c r="D371">
        <f>IFERROR(VLOOKUP($C371,'CHART OF ACCOUNTS'!$A:$B,2,FALSE),"")</f>
        <v/>
      </c>
      <c r="E371" s="6" t="n"/>
      <c r="F371" s="6" t="n"/>
      <c r="G371" s="6" t="n"/>
      <c r="H371" s="6" t="n"/>
      <c r="I371" s="10" t="n"/>
      <c r="J371" s="10" t="n"/>
      <c r="K371" s="6" t="n"/>
      <c r="L371" s="6" t="n"/>
      <c r="M371" s="6" t="n"/>
    </row>
    <row r="372">
      <c r="A372" s="7" t="n"/>
      <c r="B372" s="6" t="n"/>
      <c r="C372" s="6" t="n"/>
      <c r="D372">
        <f>IFERROR(VLOOKUP($C372,'CHART OF ACCOUNTS'!$A:$B,2,FALSE),"")</f>
        <v/>
      </c>
      <c r="E372" s="6" t="n"/>
      <c r="F372" s="6" t="n"/>
      <c r="G372" s="6" t="n"/>
      <c r="H372" s="6" t="n"/>
      <c r="I372" s="10" t="n"/>
      <c r="J372" s="10" t="n"/>
      <c r="K372" s="6" t="n"/>
      <c r="L372" s="6" t="n"/>
      <c r="M372" s="6" t="n"/>
    </row>
    <row r="373">
      <c r="A373" s="7" t="n"/>
      <c r="B373" s="6" t="n"/>
      <c r="C373" s="6" t="n"/>
      <c r="D373">
        <f>IFERROR(VLOOKUP($C373,'CHART OF ACCOUNTS'!$A:$B,2,FALSE),"")</f>
        <v/>
      </c>
      <c r="E373" s="6" t="n"/>
      <c r="F373" s="6" t="n"/>
      <c r="G373" s="6" t="n"/>
      <c r="H373" s="6" t="n"/>
      <c r="I373" s="10" t="n"/>
      <c r="J373" s="10" t="n"/>
      <c r="K373" s="6" t="n"/>
      <c r="L373" s="6" t="n"/>
      <c r="M373" s="6" t="n"/>
    </row>
    <row r="374">
      <c r="A374" s="7" t="n"/>
      <c r="B374" s="6" t="n"/>
      <c r="C374" s="6" t="n"/>
      <c r="D374">
        <f>IFERROR(VLOOKUP($C374,'CHART OF ACCOUNTS'!$A:$B,2,FALSE),"")</f>
        <v/>
      </c>
      <c r="E374" s="6" t="n"/>
      <c r="F374" s="6" t="n"/>
      <c r="G374" s="6" t="n"/>
      <c r="H374" s="6" t="n"/>
      <c r="I374" s="10" t="n"/>
      <c r="J374" s="10" t="n"/>
      <c r="K374" s="6" t="n"/>
      <c r="L374" s="6" t="n"/>
      <c r="M374" s="6" t="n"/>
    </row>
    <row r="375">
      <c r="A375" s="7" t="n"/>
      <c r="B375" s="6" t="n"/>
      <c r="C375" s="6" t="n"/>
      <c r="D375">
        <f>IFERROR(VLOOKUP($C375,'CHART OF ACCOUNTS'!$A:$B,2,FALSE),"")</f>
        <v/>
      </c>
      <c r="E375" s="6" t="n"/>
      <c r="F375" s="6" t="n"/>
      <c r="G375" s="6" t="n"/>
      <c r="H375" s="6" t="n"/>
      <c r="I375" s="10" t="n"/>
      <c r="J375" s="10" t="n"/>
      <c r="K375" s="6" t="n"/>
      <c r="L375" s="6" t="n"/>
      <c r="M375" s="6" t="n"/>
    </row>
    <row r="376">
      <c r="A376" s="7" t="n"/>
      <c r="B376" s="6" t="n"/>
      <c r="C376" s="6" t="n"/>
      <c r="D376">
        <f>IFERROR(VLOOKUP($C376,'CHART OF ACCOUNTS'!$A:$B,2,FALSE),"")</f>
        <v/>
      </c>
      <c r="E376" s="6" t="n"/>
      <c r="F376" s="6" t="n"/>
      <c r="G376" s="6" t="n"/>
      <c r="H376" s="6" t="n"/>
      <c r="I376" s="10" t="n"/>
      <c r="J376" s="10" t="n"/>
      <c r="K376" s="6" t="n"/>
      <c r="L376" s="6" t="n"/>
      <c r="M376" s="6" t="n"/>
    </row>
    <row r="377">
      <c r="A377" s="7" t="n"/>
      <c r="B377" s="6" t="n"/>
      <c r="C377" s="6" t="n"/>
      <c r="D377">
        <f>IFERROR(VLOOKUP($C377,'CHART OF ACCOUNTS'!$A:$B,2,FALSE),"")</f>
        <v/>
      </c>
      <c r="E377" s="6" t="n"/>
      <c r="F377" s="6" t="n"/>
      <c r="G377" s="6" t="n"/>
      <c r="H377" s="6" t="n"/>
      <c r="I377" s="10" t="n"/>
      <c r="J377" s="10" t="n"/>
      <c r="K377" s="6" t="n"/>
      <c r="L377" s="6" t="n"/>
      <c r="M377" s="6" t="n"/>
    </row>
    <row r="378">
      <c r="A378" s="7" t="n"/>
      <c r="B378" s="6" t="n"/>
      <c r="C378" s="6" t="n"/>
      <c r="D378">
        <f>IFERROR(VLOOKUP($C378,'CHART OF ACCOUNTS'!$A:$B,2,FALSE),"")</f>
        <v/>
      </c>
      <c r="E378" s="6" t="n"/>
      <c r="F378" s="6" t="n"/>
      <c r="G378" s="6" t="n"/>
      <c r="H378" s="6" t="n"/>
      <c r="I378" s="10" t="n"/>
      <c r="J378" s="10" t="n"/>
      <c r="K378" s="6" t="n"/>
      <c r="L378" s="6" t="n"/>
      <c r="M378" s="6" t="n"/>
    </row>
    <row r="379">
      <c r="A379" s="7" t="n"/>
      <c r="B379" s="6" t="n"/>
      <c r="C379" s="6" t="n"/>
      <c r="D379">
        <f>IFERROR(VLOOKUP($C379,'CHART OF ACCOUNTS'!$A:$B,2,FALSE),"")</f>
        <v/>
      </c>
      <c r="E379" s="6" t="n"/>
      <c r="F379" s="6" t="n"/>
      <c r="G379" s="6" t="n"/>
      <c r="H379" s="6" t="n"/>
      <c r="I379" s="10" t="n"/>
      <c r="J379" s="10" t="n"/>
      <c r="K379" s="6" t="n"/>
      <c r="L379" s="6" t="n"/>
      <c r="M379" s="6" t="n"/>
    </row>
    <row r="380">
      <c r="A380" s="7" t="n"/>
      <c r="B380" s="6" t="n"/>
      <c r="C380" s="6" t="n"/>
      <c r="D380">
        <f>IFERROR(VLOOKUP($C380,'CHART OF ACCOUNTS'!$A:$B,2,FALSE),"")</f>
        <v/>
      </c>
      <c r="E380" s="6" t="n"/>
      <c r="F380" s="6" t="n"/>
      <c r="G380" s="6" t="n"/>
      <c r="H380" s="6" t="n"/>
      <c r="I380" s="10" t="n"/>
      <c r="J380" s="10" t="n"/>
      <c r="K380" s="6" t="n"/>
      <c r="L380" s="6" t="n"/>
      <c r="M380" s="6" t="n"/>
    </row>
    <row r="381">
      <c r="A381" s="7" t="n"/>
      <c r="B381" s="6" t="n"/>
      <c r="C381" s="6" t="n"/>
      <c r="D381">
        <f>IFERROR(VLOOKUP($C381,'CHART OF ACCOUNTS'!$A:$B,2,FALSE),"")</f>
        <v/>
      </c>
      <c r="E381" s="6" t="n"/>
      <c r="F381" s="6" t="n"/>
      <c r="G381" s="6" t="n"/>
      <c r="H381" s="6" t="n"/>
      <c r="I381" s="10" t="n"/>
      <c r="J381" s="10" t="n"/>
      <c r="K381" s="6" t="n"/>
      <c r="L381" s="6" t="n"/>
      <c r="M381" s="6" t="n"/>
    </row>
    <row r="382">
      <c r="A382" s="7" t="n"/>
      <c r="B382" s="6" t="n"/>
      <c r="C382" s="6" t="n"/>
      <c r="D382">
        <f>IFERROR(VLOOKUP($C382,'CHART OF ACCOUNTS'!$A:$B,2,FALSE),"")</f>
        <v/>
      </c>
      <c r="E382" s="6" t="n"/>
      <c r="F382" s="6" t="n"/>
      <c r="G382" s="6" t="n"/>
      <c r="H382" s="6" t="n"/>
      <c r="I382" s="10" t="n"/>
      <c r="J382" s="10" t="n"/>
      <c r="K382" s="6" t="n"/>
      <c r="L382" s="6" t="n"/>
      <c r="M382" s="6" t="n"/>
    </row>
    <row r="383">
      <c r="A383" s="7" t="n"/>
      <c r="B383" s="6" t="n"/>
      <c r="C383" s="6" t="n"/>
      <c r="D383">
        <f>IFERROR(VLOOKUP($C383,'CHART OF ACCOUNTS'!$A:$B,2,FALSE),"")</f>
        <v/>
      </c>
      <c r="E383" s="6" t="n"/>
      <c r="F383" s="6" t="n"/>
      <c r="G383" s="6" t="n"/>
      <c r="H383" s="6" t="n"/>
      <c r="I383" s="10" t="n"/>
      <c r="J383" s="10" t="n"/>
      <c r="K383" s="6" t="n"/>
      <c r="L383" s="6" t="n"/>
      <c r="M383" s="6" t="n"/>
    </row>
    <row r="384">
      <c r="A384" s="7" t="n"/>
      <c r="B384" s="6" t="n"/>
      <c r="C384" s="6" t="n"/>
      <c r="D384">
        <f>IFERROR(VLOOKUP($C384,'CHART OF ACCOUNTS'!$A:$B,2,FALSE),"")</f>
        <v/>
      </c>
      <c r="E384" s="6" t="n"/>
      <c r="F384" s="6" t="n"/>
      <c r="G384" s="6" t="n"/>
      <c r="H384" s="6" t="n"/>
      <c r="I384" s="10" t="n"/>
      <c r="J384" s="10" t="n"/>
      <c r="K384" s="6" t="n"/>
      <c r="L384" s="6" t="n"/>
      <c r="M384" s="6" t="n"/>
    </row>
    <row r="385">
      <c r="A385" s="7" t="n"/>
      <c r="B385" s="6" t="n"/>
      <c r="C385" s="6" t="n"/>
      <c r="D385">
        <f>IFERROR(VLOOKUP($C385,'CHART OF ACCOUNTS'!$A:$B,2,FALSE),"")</f>
        <v/>
      </c>
      <c r="E385" s="6" t="n"/>
      <c r="F385" s="6" t="n"/>
      <c r="G385" s="6" t="n"/>
      <c r="H385" s="6" t="n"/>
      <c r="I385" s="10" t="n"/>
      <c r="J385" s="10" t="n"/>
      <c r="K385" s="6" t="n"/>
      <c r="L385" s="6" t="n"/>
      <c r="M385" s="6" t="n"/>
    </row>
    <row r="386">
      <c r="A386" s="7" t="n"/>
      <c r="B386" s="6" t="n"/>
      <c r="C386" s="6" t="n"/>
      <c r="D386">
        <f>IFERROR(VLOOKUP($C386,'CHART OF ACCOUNTS'!$A:$B,2,FALSE),"")</f>
        <v/>
      </c>
      <c r="E386" s="6" t="n"/>
      <c r="F386" s="6" t="n"/>
      <c r="G386" s="6" t="n"/>
      <c r="H386" s="6" t="n"/>
      <c r="I386" s="10" t="n"/>
      <c r="J386" s="10" t="n"/>
      <c r="K386" s="6" t="n"/>
      <c r="L386" s="6" t="n"/>
      <c r="M386" s="6" t="n"/>
    </row>
    <row r="387">
      <c r="A387" s="7" t="n"/>
      <c r="B387" s="6" t="n"/>
      <c r="C387" s="6" t="n"/>
      <c r="D387">
        <f>IFERROR(VLOOKUP($C387,'CHART OF ACCOUNTS'!$A:$B,2,FALSE),"")</f>
        <v/>
      </c>
      <c r="E387" s="6" t="n"/>
      <c r="F387" s="6" t="n"/>
      <c r="G387" s="6" t="n"/>
      <c r="H387" s="6" t="n"/>
      <c r="I387" s="10" t="n"/>
      <c r="J387" s="10" t="n"/>
      <c r="K387" s="6" t="n"/>
      <c r="L387" s="6" t="n"/>
      <c r="M387" s="6" t="n"/>
    </row>
    <row r="388">
      <c r="A388" s="7" t="n"/>
      <c r="B388" s="6" t="n"/>
      <c r="C388" s="6" t="n"/>
      <c r="D388">
        <f>IFERROR(VLOOKUP($C388,'CHART OF ACCOUNTS'!$A:$B,2,FALSE),"")</f>
        <v/>
      </c>
      <c r="E388" s="6" t="n"/>
      <c r="F388" s="6" t="n"/>
      <c r="G388" s="6" t="n"/>
      <c r="H388" s="6" t="n"/>
      <c r="I388" s="10" t="n"/>
      <c r="J388" s="10" t="n"/>
      <c r="K388" s="6" t="n"/>
      <c r="L388" s="6" t="n"/>
      <c r="M388" s="6" t="n"/>
    </row>
    <row r="389">
      <c r="A389" s="7" t="n"/>
      <c r="B389" s="6" t="n"/>
      <c r="C389" s="6" t="n"/>
      <c r="D389">
        <f>IFERROR(VLOOKUP($C389,'CHART OF ACCOUNTS'!$A:$B,2,FALSE),"")</f>
        <v/>
      </c>
      <c r="E389" s="6" t="n"/>
      <c r="F389" s="6" t="n"/>
      <c r="G389" s="6" t="n"/>
      <c r="H389" s="6" t="n"/>
      <c r="I389" s="10" t="n"/>
      <c r="J389" s="10" t="n"/>
      <c r="K389" s="6" t="n"/>
      <c r="L389" s="6" t="n"/>
      <c r="M389" s="6" t="n"/>
    </row>
    <row r="390">
      <c r="A390" s="7" t="n"/>
      <c r="B390" s="6" t="n"/>
      <c r="C390" s="6" t="n"/>
      <c r="D390">
        <f>IFERROR(VLOOKUP($C390,'CHART OF ACCOUNTS'!$A:$B,2,FALSE),"")</f>
        <v/>
      </c>
      <c r="E390" s="6" t="n"/>
      <c r="F390" s="6" t="n"/>
      <c r="G390" s="6" t="n"/>
      <c r="H390" s="6" t="n"/>
      <c r="I390" s="10" t="n"/>
      <c r="J390" s="10" t="n"/>
      <c r="K390" s="6" t="n"/>
      <c r="L390" s="6" t="n"/>
      <c r="M390" s="6" t="n"/>
    </row>
    <row r="391">
      <c r="A391" s="7" t="n"/>
      <c r="B391" s="6" t="n"/>
      <c r="C391" s="6" t="n"/>
      <c r="D391">
        <f>IFERROR(VLOOKUP($C391,'CHART OF ACCOUNTS'!$A:$B,2,FALSE),"")</f>
        <v/>
      </c>
      <c r="E391" s="6" t="n"/>
      <c r="F391" s="6" t="n"/>
      <c r="G391" s="6" t="n"/>
      <c r="H391" s="6" t="n"/>
      <c r="I391" s="10" t="n"/>
      <c r="J391" s="10" t="n"/>
      <c r="K391" s="6" t="n"/>
      <c r="L391" s="6" t="n"/>
      <c r="M391" s="6" t="n"/>
    </row>
    <row r="392">
      <c r="A392" s="7" t="n"/>
      <c r="B392" s="6" t="n"/>
      <c r="C392" s="6" t="n"/>
      <c r="D392">
        <f>IFERROR(VLOOKUP($C392,'CHART OF ACCOUNTS'!$A:$B,2,FALSE),"")</f>
        <v/>
      </c>
      <c r="E392" s="6" t="n"/>
      <c r="F392" s="6" t="n"/>
      <c r="G392" s="6" t="n"/>
      <c r="H392" s="6" t="n"/>
      <c r="I392" s="10" t="n"/>
      <c r="J392" s="10" t="n"/>
      <c r="K392" s="6" t="n"/>
      <c r="L392" s="6" t="n"/>
      <c r="M392" s="6" t="n"/>
    </row>
    <row r="393">
      <c r="A393" s="7" t="n"/>
      <c r="B393" s="6" t="n"/>
      <c r="C393" s="6" t="n"/>
      <c r="D393">
        <f>IFERROR(VLOOKUP($C393,'CHART OF ACCOUNTS'!$A:$B,2,FALSE),"")</f>
        <v/>
      </c>
      <c r="E393" s="6" t="n"/>
      <c r="F393" s="6" t="n"/>
      <c r="G393" s="6" t="n"/>
      <c r="H393" s="6" t="n"/>
      <c r="I393" s="10" t="n"/>
      <c r="J393" s="10" t="n"/>
      <c r="K393" s="6" t="n"/>
      <c r="L393" s="6" t="n"/>
      <c r="M393" s="6" t="n"/>
    </row>
    <row r="394">
      <c r="A394" s="7" t="n"/>
      <c r="B394" s="6" t="n"/>
      <c r="C394" s="6" t="n"/>
      <c r="D394">
        <f>IFERROR(VLOOKUP($C394,'CHART OF ACCOUNTS'!$A:$B,2,FALSE),"")</f>
        <v/>
      </c>
      <c r="E394" s="6" t="n"/>
      <c r="F394" s="6" t="n"/>
      <c r="G394" s="6" t="n"/>
      <c r="H394" s="6" t="n"/>
      <c r="I394" s="10" t="n"/>
      <c r="J394" s="10" t="n"/>
      <c r="K394" s="6" t="n"/>
      <c r="L394" s="6" t="n"/>
      <c r="M394" s="6" t="n"/>
    </row>
    <row r="395">
      <c r="A395" s="7" t="n"/>
      <c r="B395" s="6" t="n"/>
      <c r="C395" s="6" t="n"/>
      <c r="D395">
        <f>IFERROR(VLOOKUP($C395,'CHART OF ACCOUNTS'!$A:$B,2,FALSE),"")</f>
        <v/>
      </c>
      <c r="E395" s="6" t="n"/>
      <c r="F395" s="6" t="n"/>
      <c r="G395" s="6" t="n"/>
      <c r="H395" s="6" t="n"/>
      <c r="I395" s="10" t="n"/>
      <c r="J395" s="10" t="n"/>
      <c r="K395" s="6" t="n"/>
      <c r="L395" s="6" t="n"/>
      <c r="M395" s="6" t="n"/>
    </row>
    <row r="396">
      <c r="A396" s="7" t="n"/>
      <c r="B396" s="6" t="n"/>
      <c r="C396" s="6" t="n"/>
      <c r="D396">
        <f>IFERROR(VLOOKUP($C396,'CHART OF ACCOUNTS'!$A:$B,2,FALSE),"")</f>
        <v/>
      </c>
      <c r="E396" s="6" t="n"/>
      <c r="F396" s="6" t="n"/>
      <c r="G396" s="6" t="n"/>
      <c r="H396" s="6" t="n"/>
      <c r="I396" s="10" t="n"/>
      <c r="J396" s="10" t="n"/>
      <c r="K396" s="6" t="n"/>
      <c r="L396" s="6" t="n"/>
      <c r="M396" s="6" t="n"/>
    </row>
    <row r="397">
      <c r="A397" s="7" t="n"/>
      <c r="B397" s="6" t="n"/>
      <c r="C397" s="6" t="n"/>
      <c r="D397">
        <f>IFERROR(VLOOKUP($C397,'CHART OF ACCOUNTS'!$A:$B,2,FALSE),"")</f>
        <v/>
      </c>
      <c r="E397" s="6" t="n"/>
      <c r="F397" s="6" t="n"/>
      <c r="G397" s="6" t="n"/>
      <c r="H397" s="6" t="n"/>
      <c r="I397" s="10" t="n"/>
      <c r="J397" s="10" t="n"/>
      <c r="K397" s="6" t="n"/>
      <c r="L397" s="6" t="n"/>
      <c r="M397" s="6" t="n"/>
    </row>
    <row r="398">
      <c r="A398" s="7" t="n"/>
      <c r="B398" s="6" t="n"/>
      <c r="C398" s="6" t="n"/>
      <c r="D398">
        <f>IFERROR(VLOOKUP($C398,'CHART OF ACCOUNTS'!$A:$B,2,FALSE),"")</f>
        <v/>
      </c>
      <c r="E398" s="6" t="n"/>
      <c r="F398" s="6" t="n"/>
      <c r="G398" s="6" t="n"/>
      <c r="H398" s="6" t="n"/>
      <c r="I398" s="10" t="n"/>
      <c r="J398" s="10" t="n"/>
      <c r="K398" s="6" t="n"/>
      <c r="L398" s="6" t="n"/>
      <c r="M398" s="6" t="n"/>
    </row>
    <row r="399">
      <c r="A399" s="7" t="n"/>
      <c r="B399" s="6" t="n"/>
      <c r="C399" s="6" t="n"/>
      <c r="D399">
        <f>IFERROR(VLOOKUP($C399,'CHART OF ACCOUNTS'!$A:$B,2,FALSE),"")</f>
        <v/>
      </c>
      <c r="E399" s="6" t="n"/>
      <c r="F399" s="6" t="n"/>
      <c r="G399" s="6" t="n"/>
      <c r="H399" s="6" t="n"/>
      <c r="I399" s="10" t="n"/>
      <c r="J399" s="10" t="n"/>
      <c r="K399" s="6" t="n"/>
      <c r="L399" s="6" t="n"/>
      <c r="M399" s="6" t="n"/>
    </row>
    <row r="400">
      <c r="A400" s="7" t="n"/>
      <c r="B400" s="6" t="n"/>
      <c r="C400" s="6" t="n"/>
      <c r="D400">
        <f>IFERROR(VLOOKUP($C400,'CHART OF ACCOUNTS'!$A:$B,2,FALSE),"")</f>
        <v/>
      </c>
      <c r="E400" s="6" t="n"/>
      <c r="F400" s="6" t="n"/>
      <c r="G400" s="6" t="n"/>
      <c r="H400" s="6" t="n"/>
      <c r="I400" s="10" t="n"/>
      <c r="J400" s="10" t="n"/>
      <c r="K400" s="6" t="n"/>
      <c r="L400" s="6" t="n"/>
      <c r="M400" s="6" t="n"/>
    </row>
    <row r="401">
      <c r="A401" s="7" t="n"/>
      <c r="B401" s="6" t="n"/>
      <c r="C401" s="6" t="n"/>
      <c r="D401">
        <f>IFERROR(VLOOKUP($C401,'CHART OF ACCOUNTS'!$A:$B,2,FALSE),"")</f>
        <v/>
      </c>
      <c r="E401" s="6" t="n"/>
      <c r="F401" s="6" t="n"/>
      <c r="G401" s="6" t="n"/>
      <c r="H401" s="6" t="n"/>
      <c r="I401" s="10" t="n"/>
      <c r="J401" s="10" t="n"/>
      <c r="K401" s="6" t="n"/>
      <c r="L401" s="6" t="n"/>
      <c r="M401" s="6" t="n"/>
    </row>
    <row r="402">
      <c r="A402" s="7" t="n"/>
      <c r="B402" s="6" t="n"/>
      <c r="C402" s="6" t="n"/>
      <c r="D402">
        <f>IFERROR(VLOOKUP($C402,'CHART OF ACCOUNTS'!$A:$B,2,FALSE),"")</f>
        <v/>
      </c>
      <c r="E402" s="6" t="n"/>
      <c r="F402" s="6" t="n"/>
      <c r="G402" s="6" t="n"/>
      <c r="H402" s="6" t="n"/>
      <c r="I402" s="10" t="n"/>
      <c r="J402" s="10" t="n"/>
      <c r="K402" s="6" t="n"/>
      <c r="L402" s="6" t="n"/>
      <c r="M402" s="6" t="n"/>
    </row>
    <row r="403">
      <c r="A403" s="7" t="n"/>
      <c r="B403" s="6" t="n"/>
      <c r="C403" s="6" t="n"/>
      <c r="D403">
        <f>IFERROR(VLOOKUP($C403,'CHART OF ACCOUNTS'!$A:$B,2,FALSE),"")</f>
        <v/>
      </c>
      <c r="E403" s="6" t="n"/>
      <c r="F403" s="6" t="n"/>
      <c r="G403" s="6" t="n"/>
      <c r="H403" s="6" t="n"/>
      <c r="I403" s="10" t="n"/>
      <c r="J403" s="10" t="n"/>
      <c r="K403" s="6" t="n"/>
      <c r="L403" s="6" t="n"/>
      <c r="M403" s="6" t="n"/>
    </row>
    <row r="404">
      <c r="A404" s="7" t="n"/>
      <c r="B404" s="6" t="n"/>
      <c r="C404" s="6" t="n"/>
      <c r="D404">
        <f>IFERROR(VLOOKUP($C404,'CHART OF ACCOUNTS'!$A:$B,2,FALSE),"")</f>
        <v/>
      </c>
      <c r="E404" s="6" t="n"/>
      <c r="F404" s="6" t="n"/>
      <c r="G404" s="6" t="n"/>
      <c r="H404" s="6" t="n"/>
      <c r="I404" s="10" t="n"/>
      <c r="J404" s="10" t="n"/>
      <c r="K404" s="6" t="n"/>
      <c r="L404" s="6" t="n"/>
      <c r="M404" s="6" t="n"/>
    </row>
    <row r="405">
      <c r="A405" s="7" t="n"/>
      <c r="B405" s="6" t="n"/>
      <c r="C405" s="6" t="n"/>
      <c r="D405">
        <f>IFERROR(VLOOKUP($C405,'CHART OF ACCOUNTS'!$A:$B,2,FALSE),"")</f>
        <v/>
      </c>
      <c r="E405" s="6" t="n"/>
      <c r="F405" s="6" t="n"/>
      <c r="G405" s="6" t="n"/>
      <c r="H405" s="6" t="n"/>
      <c r="I405" s="10" t="n"/>
      <c r="J405" s="10" t="n"/>
      <c r="K405" s="6" t="n"/>
      <c r="L405" s="6" t="n"/>
      <c r="M405" s="6" t="n"/>
    </row>
    <row r="406">
      <c r="A406" s="7" t="n"/>
      <c r="B406" s="6" t="n"/>
      <c r="C406" s="6" t="n"/>
      <c r="D406">
        <f>IFERROR(VLOOKUP($C406,'CHART OF ACCOUNTS'!$A:$B,2,FALSE),"")</f>
        <v/>
      </c>
      <c r="E406" s="6" t="n"/>
      <c r="F406" s="6" t="n"/>
      <c r="G406" s="6" t="n"/>
      <c r="H406" s="6" t="n"/>
      <c r="I406" s="10" t="n"/>
      <c r="J406" s="10" t="n"/>
      <c r="K406" s="6" t="n"/>
      <c r="L406" s="6" t="n"/>
      <c r="M406" s="6" t="n"/>
    </row>
    <row r="407">
      <c r="A407" s="7" t="n"/>
      <c r="B407" s="6" t="n"/>
      <c r="C407" s="6" t="n"/>
      <c r="D407">
        <f>IFERROR(VLOOKUP($C407,'CHART OF ACCOUNTS'!$A:$B,2,FALSE),"")</f>
        <v/>
      </c>
      <c r="E407" s="6" t="n"/>
      <c r="F407" s="6" t="n"/>
      <c r="G407" s="6" t="n"/>
      <c r="H407" s="6" t="n"/>
      <c r="I407" s="10" t="n"/>
      <c r="J407" s="10" t="n"/>
      <c r="K407" s="6" t="n"/>
      <c r="L407" s="6" t="n"/>
      <c r="M407" s="6" t="n"/>
    </row>
    <row r="408">
      <c r="A408" s="7" t="n"/>
      <c r="B408" s="6" t="n"/>
      <c r="C408" s="6" t="n"/>
      <c r="D408">
        <f>IFERROR(VLOOKUP($C408,'CHART OF ACCOUNTS'!$A:$B,2,FALSE),"")</f>
        <v/>
      </c>
      <c r="E408" s="6" t="n"/>
      <c r="F408" s="6" t="n"/>
      <c r="G408" s="6" t="n"/>
      <c r="H408" s="6" t="n"/>
      <c r="I408" s="10" t="n"/>
      <c r="J408" s="10" t="n"/>
      <c r="K408" s="6" t="n"/>
      <c r="L408" s="6" t="n"/>
      <c r="M408" s="6" t="n"/>
    </row>
    <row r="409">
      <c r="A409" s="7" t="n"/>
      <c r="B409" s="6" t="n"/>
      <c r="C409" s="6" t="n"/>
      <c r="D409">
        <f>IFERROR(VLOOKUP($C409,'CHART OF ACCOUNTS'!$A:$B,2,FALSE),"")</f>
        <v/>
      </c>
      <c r="E409" s="6" t="n"/>
      <c r="F409" s="6" t="n"/>
      <c r="G409" s="6" t="n"/>
      <c r="H409" s="6" t="n"/>
      <c r="I409" s="10" t="n"/>
      <c r="J409" s="10" t="n"/>
      <c r="K409" s="6" t="n"/>
      <c r="L409" s="6" t="n"/>
      <c r="M409" s="6" t="n"/>
    </row>
    <row r="410">
      <c r="A410" s="7" t="n"/>
      <c r="B410" s="6" t="n"/>
      <c r="C410" s="6" t="n"/>
      <c r="D410">
        <f>IFERROR(VLOOKUP($C410,'CHART OF ACCOUNTS'!$A:$B,2,FALSE),"")</f>
        <v/>
      </c>
      <c r="E410" s="6" t="n"/>
      <c r="F410" s="6" t="n"/>
      <c r="G410" s="6" t="n"/>
      <c r="H410" s="6" t="n"/>
      <c r="I410" s="10" t="n"/>
      <c r="J410" s="10" t="n"/>
      <c r="K410" s="6" t="n"/>
      <c r="L410" s="6" t="n"/>
      <c r="M410" s="6" t="n"/>
    </row>
    <row r="411">
      <c r="A411" s="7" t="n"/>
      <c r="B411" s="6" t="n"/>
      <c r="C411" s="6" t="n"/>
      <c r="D411">
        <f>IFERROR(VLOOKUP($C411,'CHART OF ACCOUNTS'!$A:$B,2,FALSE),"")</f>
        <v/>
      </c>
      <c r="E411" s="6" t="n"/>
      <c r="F411" s="6" t="n"/>
      <c r="G411" s="6" t="n"/>
      <c r="H411" s="6" t="n"/>
      <c r="I411" s="10" t="n"/>
      <c r="J411" s="10" t="n"/>
      <c r="K411" s="6" t="n"/>
      <c r="L411" s="6" t="n"/>
      <c r="M411" s="6" t="n"/>
    </row>
    <row r="412">
      <c r="A412" s="7" t="n"/>
      <c r="B412" s="6" t="n"/>
      <c r="C412" s="6" t="n"/>
      <c r="D412">
        <f>IFERROR(VLOOKUP($C412,'CHART OF ACCOUNTS'!$A:$B,2,FALSE),"")</f>
        <v/>
      </c>
      <c r="E412" s="6" t="n"/>
      <c r="F412" s="6" t="n"/>
      <c r="G412" s="6" t="n"/>
      <c r="H412" s="6" t="n"/>
      <c r="I412" s="10" t="n"/>
      <c r="J412" s="10" t="n"/>
      <c r="K412" s="6" t="n"/>
      <c r="L412" s="6" t="n"/>
      <c r="M412" s="6" t="n"/>
    </row>
    <row r="413">
      <c r="A413" s="7" t="n"/>
      <c r="B413" s="6" t="n"/>
      <c r="C413" s="6" t="n"/>
      <c r="D413">
        <f>IFERROR(VLOOKUP($C413,'CHART OF ACCOUNTS'!$A:$B,2,FALSE),"")</f>
        <v/>
      </c>
      <c r="E413" s="6" t="n"/>
      <c r="F413" s="6" t="n"/>
      <c r="G413" s="6" t="n"/>
      <c r="H413" s="6" t="n"/>
      <c r="I413" s="10" t="n"/>
      <c r="J413" s="10" t="n"/>
      <c r="K413" s="6" t="n"/>
      <c r="L413" s="6" t="n"/>
      <c r="M413" s="6" t="n"/>
    </row>
    <row r="414">
      <c r="A414" s="7" t="n"/>
      <c r="B414" s="6" t="n"/>
      <c r="C414" s="6" t="n"/>
      <c r="D414">
        <f>IFERROR(VLOOKUP($C414,'CHART OF ACCOUNTS'!$A:$B,2,FALSE),"")</f>
        <v/>
      </c>
      <c r="E414" s="6" t="n"/>
      <c r="F414" s="6" t="n"/>
      <c r="G414" s="6" t="n"/>
      <c r="H414" s="6" t="n"/>
      <c r="I414" s="10" t="n"/>
      <c r="J414" s="10" t="n"/>
      <c r="K414" s="6" t="n"/>
      <c r="L414" s="6" t="n"/>
      <c r="M414" s="6" t="n"/>
    </row>
    <row r="415">
      <c r="A415" s="7" t="n"/>
      <c r="B415" s="6" t="n"/>
      <c r="C415" s="6" t="n"/>
      <c r="D415">
        <f>IFERROR(VLOOKUP($C415,'CHART OF ACCOUNTS'!$A:$B,2,FALSE),"")</f>
        <v/>
      </c>
      <c r="E415" s="6" t="n"/>
      <c r="F415" s="6" t="n"/>
      <c r="G415" s="6" t="n"/>
      <c r="H415" s="6" t="n"/>
      <c r="I415" s="10" t="n"/>
      <c r="J415" s="10" t="n"/>
      <c r="K415" s="6" t="n"/>
      <c r="L415" s="6" t="n"/>
      <c r="M415" s="6" t="n"/>
    </row>
    <row r="416">
      <c r="A416" s="7" t="n"/>
      <c r="B416" s="6" t="n"/>
      <c r="C416" s="6" t="n"/>
      <c r="D416">
        <f>IFERROR(VLOOKUP($C416,'CHART OF ACCOUNTS'!$A:$B,2,FALSE),"")</f>
        <v/>
      </c>
      <c r="E416" s="6" t="n"/>
      <c r="F416" s="6" t="n"/>
      <c r="G416" s="6" t="n"/>
      <c r="H416" s="6" t="n"/>
      <c r="I416" s="10" t="n"/>
      <c r="J416" s="10" t="n"/>
      <c r="K416" s="6" t="n"/>
      <c r="L416" s="6" t="n"/>
      <c r="M416" s="6" t="n"/>
    </row>
    <row r="417">
      <c r="A417" s="7" t="n"/>
      <c r="B417" s="6" t="n"/>
      <c r="C417" s="6" t="n"/>
      <c r="D417">
        <f>IFERROR(VLOOKUP($C417,'CHART OF ACCOUNTS'!$A:$B,2,FALSE),"")</f>
        <v/>
      </c>
      <c r="E417" s="6" t="n"/>
      <c r="F417" s="6" t="n"/>
      <c r="G417" s="6" t="n"/>
      <c r="H417" s="6" t="n"/>
      <c r="I417" s="10" t="n"/>
      <c r="J417" s="10" t="n"/>
      <c r="K417" s="6" t="n"/>
      <c r="L417" s="6" t="n"/>
      <c r="M417" s="6" t="n"/>
    </row>
    <row r="418">
      <c r="A418" s="7" t="n"/>
      <c r="B418" s="6" t="n"/>
      <c r="C418" s="6" t="n"/>
      <c r="D418">
        <f>IFERROR(VLOOKUP($C418,'CHART OF ACCOUNTS'!$A:$B,2,FALSE),"")</f>
        <v/>
      </c>
      <c r="E418" s="6" t="n"/>
      <c r="F418" s="6" t="n"/>
      <c r="G418" s="6" t="n"/>
      <c r="H418" s="6" t="n"/>
      <c r="I418" s="10" t="n"/>
      <c r="J418" s="10" t="n"/>
      <c r="K418" s="6" t="n"/>
      <c r="L418" s="6" t="n"/>
      <c r="M418" s="6" t="n"/>
    </row>
    <row r="419">
      <c r="A419" s="7" t="n"/>
      <c r="B419" s="6" t="n"/>
      <c r="C419" s="6" t="n"/>
      <c r="D419">
        <f>IFERROR(VLOOKUP($C419,'CHART OF ACCOUNTS'!$A:$B,2,FALSE),"")</f>
        <v/>
      </c>
      <c r="E419" s="6" t="n"/>
      <c r="F419" s="6" t="n"/>
      <c r="G419" s="6" t="n"/>
      <c r="H419" s="6" t="n"/>
      <c r="I419" s="10" t="n"/>
      <c r="J419" s="10" t="n"/>
      <c r="K419" s="6" t="n"/>
      <c r="L419" s="6" t="n"/>
      <c r="M419" s="6" t="n"/>
    </row>
    <row r="420">
      <c r="A420" s="7" t="n"/>
      <c r="B420" s="6" t="n"/>
      <c r="C420" s="6" t="n"/>
      <c r="D420">
        <f>IFERROR(VLOOKUP($C420,'CHART OF ACCOUNTS'!$A:$B,2,FALSE),"")</f>
        <v/>
      </c>
      <c r="E420" s="6" t="n"/>
      <c r="F420" s="6" t="n"/>
      <c r="G420" s="6" t="n"/>
      <c r="H420" s="6" t="n"/>
      <c r="I420" s="10" t="n"/>
      <c r="J420" s="10" t="n"/>
      <c r="K420" s="6" t="n"/>
      <c r="L420" s="6" t="n"/>
      <c r="M420" s="6" t="n"/>
    </row>
    <row r="421">
      <c r="A421" s="7" t="n"/>
      <c r="B421" s="6" t="n"/>
      <c r="C421" s="6" t="n"/>
      <c r="D421">
        <f>IFERROR(VLOOKUP($C421,'CHART OF ACCOUNTS'!$A:$B,2,FALSE),"")</f>
        <v/>
      </c>
      <c r="E421" s="6" t="n"/>
      <c r="F421" s="6" t="n"/>
      <c r="G421" s="6" t="n"/>
      <c r="H421" s="6" t="n"/>
      <c r="I421" s="10" t="n"/>
      <c r="J421" s="10" t="n"/>
      <c r="K421" s="6" t="n"/>
      <c r="L421" s="6" t="n"/>
      <c r="M421" s="6" t="n"/>
    </row>
    <row r="422">
      <c r="A422" s="7" t="n"/>
      <c r="B422" s="6" t="n"/>
      <c r="C422" s="6" t="n"/>
      <c r="D422">
        <f>IFERROR(VLOOKUP($C422,'CHART OF ACCOUNTS'!$A:$B,2,FALSE),"")</f>
        <v/>
      </c>
      <c r="E422" s="6" t="n"/>
      <c r="F422" s="6" t="n"/>
      <c r="G422" s="6" t="n"/>
      <c r="H422" s="6" t="n"/>
      <c r="I422" s="10" t="n"/>
      <c r="J422" s="10" t="n"/>
      <c r="K422" s="6" t="n"/>
      <c r="L422" s="6" t="n"/>
      <c r="M422" s="6" t="n"/>
    </row>
    <row r="423">
      <c r="A423" s="7" t="n"/>
      <c r="B423" s="6" t="n"/>
      <c r="C423" s="6" t="n"/>
      <c r="D423">
        <f>IFERROR(VLOOKUP($C423,'CHART OF ACCOUNTS'!$A:$B,2,FALSE),"")</f>
        <v/>
      </c>
      <c r="E423" s="6" t="n"/>
      <c r="F423" s="6" t="n"/>
      <c r="G423" s="6" t="n"/>
      <c r="H423" s="6" t="n"/>
      <c r="I423" s="10" t="n"/>
      <c r="J423" s="10" t="n"/>
      <c r="K423" s="6" t="n"/>
      <c r="L423" s="6" t="n"/>
      <c r="M423" s="6" t="n"/>
    </row>
    <row r="424">
      <c r="A424" s="7" t="n"/>
      <c r="B424" s="6" t="n"/>
      <c r="C424" s="6" t="n"/>
      <c r="D424">
        <f>IFERROR(VLOOKUP($C424,'CHART OF ACCOUNTS'!$A:$B,2,FALSE),"")</f>
        <v/>
      </c>
      <c r="E424" s="6" t="n"/>
      <c r="F424" s="6" t="n"/>
      <c r="G424" s="6" t="n"/>
      <c r="H424" s="6" t="n"/>
      <c r="I424" s="10" t="n"/>
      <c r="J424" s="10" t="n"/>
      <c r="K424" s="6" t="n"/>
      <c r="L424" s="6" t="n"/>
      <c r="M424" s="6" t="n"/>
    </row>
    <row r="425">
      <c r="A425" s="7" t="n"/>
      <c r="B425" s="6" t="n"/>
      <c r="C425" s="6" t="n"/>
      <c r="D425">
        <f>IFERROR(VLOOKUP($C425,'CHART OF ACCOUNTS'!$A:$B,2,FALSE),"")</f>
        <v/>
      </c>
      <c r="E425" s="6" t="n"/>
      <c r="F425" s="6" t="n"/>
      <c r="G425" s="6" t="n"/>
      <c r="H425" s="6" t="n"/>
      <c r="I425" s="10" t="n"/>
      <c r="J425" s="10" t="n"/>
      <c r="K425" s="6" t="n"/>
      <c r="L425" s="6" t="n"/>
      <c r="M425" s="6" t="n"/>
    </row>
    <row r="426">
      <c r="A426" s="7" t="n"/>
      <c r="B426" s="6" t="n"/>
      <c r="C426" s="6" t="n"/>
      <c r="D426">
        <f>IFERROR(VLOOKUP($C426,'CHART OF ACCOUNTS'!$A:$B,2,FALSE),"")</f>
        <v/>
      </c>
      <c r="E426" s="6" t="n"/>
      <c r="F426" s="6" t="n"/>
      <c r="G426" s="6" t="n"/>
      <c r="H426" s="6" t="n"/>
      <c r="I426" s="10" t="n"/>
      <c r="J426" s="10" t="n"/>
      <c r="K426" s="6" t="n"/>
      <c r="L426" s="6" t="n"/>
      <c r="M426" s="6" t="n"/>
    </row>
    <row r="427">
      <c r="A427" s="7" t="n"/>
      <c r="B427" s="6" t="n"/>
      <c r="C427" s="6" t="n"/>
      <c r="D427">
        <f>IFERROR(VLOOKUP($C427,'CHART OF ACCOUNTS'!$A:$B,2,FALSE),"")</f>
        <v/>
      </c>
      <c r="E427" s="6" t="n"/>
      <c r="F427" s="6" t="n"/>
      <c r="G427" s="6" t="n"/>
      <c r="H427" s="6" t="n"/>
      <c r="I427" s="10" t="n"/>
      <c r="J427" s="10" t="n"/>
      <c r="K427" s="6" t="n"/>
      <c r="L427" s="6" t="n"/>
      <c r="M427" s="6" t="n"/>
    </row>
    <row r="428">
      <c r="A428" s="7" t="n"/>
      <c r="B428" s="6" t="n"/>
      <c r="C428" s="6" t="n"/>
      <c r="D428">
        <f>IFERROR(VLOOKUP($C428,'CHART OF ACCOUNTS'!$A:$B,2,FALSE),"")</f>
        <v/>
      </c>
      <c r="E428" s="6" t="n"/>
      <c r="F428" s="6" t="n"/>
      <c r="G428" s="6" t="n"/>
      <c r="H428" s="6" t="n"/>
      <c r="I428" s="10" t="n"/>
      <c r="J428" s="10" t="n"/>
      <c r="K428" s="6" t="n"/>
      <c r="L428" s="6" t="n"/>
      <c r="M428" s="6" t="n"/>
    </row>
    <row r="429">
      <c r="A429" s="7" t="n"/>
      <c r="B429" s="6" t="n"/>
      <c r="C429" s="6" t="n"/>
      <c r="D429">
        <f>IFERROR(VLOOKUP($C429,'CHART OF ACCOUNTS'!$A:$B,2,FALSE),"")</f>
        <v/>
      </c>
      <c r="E429" s="6" t="n"/>
      <c r="F429" s="6" t="n"/>
      <c r="G429" s="6" t="n"/>
      <c r="H429" s="6" t="n"/>
      <c r="I429" s="10" t="n"/>
      <c r="J429" s="10" t="n"/>
      <c r="K429" s="6" t="n"/>
      <c r="L429" s="6" t="n"/>
      <c r="M429" s="6" t="n"/>
    </row>
    <row r="430">
      <c r="A430" s="7" t="n"/>
      <c r="B430" s="6" t="n"/>
      <c r="C430" s="6" t="n"/>
      <c r="D430">
        <f>IFERROR(VLOOKUP($C430,'CHART OF ACCOUNTS'!$A:$B,2,FALSE),"")</f>
        <v/>
      </c>
      <c r="E430" s="6" t="n"/>
      <c r="F430" s="6" t="n"/>
      <c r="G430" s="6" t="n"/>
      <c r="H430" s="6" t="n"/>
      <c r="I430" s="10" t="n"/>
      <c r="J430" s="10" t="n"/>
      <c r="K430" s="6" t="n"/>
      <c r="L430" s="6" t="n"/>
      <c r="M430" s="6" t="n"/>
    </row>
    <row r="431">
      <c r="A431" s="7" t="n"/>
      <c r="B431" s="6" t="n"/>
      <c r="C431" s="6" t="n"/>
      <c r="D431">
        <f>IFERROR(VLOOKUP($C431,'CHART OF ACCOUNTS'!$A:$B,2,FALSE),"")</f>
        <v/>
      </c>
      <c r="E431" s="6" t="n"/>
      <c r="F431" s="6" t="n"/>
      <c r="G431" s="6" t="n"/>
      <c r="H431" s="6" t="n"/>
      <c r="I431" s="10" t="n"/>
      <c r="J431" s="10" t="n"/>
      <c r="K431" s="6" t="n"/>
      <c r="L431" s="6" t="n"/>
      <c r="M431" s="6" t="n"/>
    </row>
    <row r="432">
      <c r="A432" s="7" t="n"/>
      <c r="B432" s="6" t="n"/>
      <c r="C432" s="6" t="n"/>
      <c r="D432">
        <f>IFERROR(VLOOKUP($C432,'CHART OF ACCOUNTS'!$A:$B,2,FALSE),"")</f>
        <v/>
      </c>
      <c r="E432" s="6" t="n"/>
      <c r="F432" s="6" t="n"/>
      <c r="G432" s="6" t="n"/>
      <c r="H432" s="6" t="n"/>
      <c r="I432" s="10" t="n"/>
      <c r="J432" s="10" t="n"/>
      <c r="K432" s="6" t="n"/>
      <c r="L432" s="6" t="n"/>
      <c r="M432" s="6" t="n"/>
    </row>
    <row r="433">
      <c r="A433" s="7" t="n"/>
      <c r="B433" s="6" t="n"/>
      <c r="C433" s="6" t="n"/>
      <c r="D433">
        <f>IFERROR(VLOOKUP($C433,'CHART OF ACCOUNTS'!$A:$B,2,FALSE),"")</f>
        <v/>
      </c>
      <c r="E433" s="6" t="n"/>
      <c r="F433" s="6" t="n"/>
      <c r="G433" s="6" t="n"/>
      <c r="H433" s="6" t="n"/>
      <c r="I433" s="10" t="n"/>
      <c r="J433" s="10" t="n"/>
      <c r="K433" s="6" t="n"/>
      <c r="L433" s="6" t="n"/>
      <c r="M433" s="6" t="n"/>
    </row>
    <row r="434">
      <c r="A434" s="7" t="n"/>
      <c r="B434" s="6" t="n"/>
      <c r="C434" s="6" t="n"/>
      <c r="D434">
        <f>IFERROR(VLOOKUP($C434,'CHART OF ACCOUNTS'!$A:$B,2,FALSE),"")</f>
        <v/>
      </c>
      <c r="E434" s="6" t="n"/>
      <c r="F434" s="6" t="n"/>
      <c r="G434" s="6" t="n"/>
      <c r="H434" s="6" t="n"/>
      <c r="I434" s="10" t="n"/>
      <c r="J434" s="10" t="n"/>
      <c r="K434" s="6" t="n"/>
      <c r="L434" s="6" t="n"/>
      <c r="M434" s="6" t="n"/>
    </row>
    <row r="435">
      <c r="A435" s="7" t="n"/>
      <c r="B435" s="6" t="n"/>
      <c r="C435" s="6" t="n"/>
      <c r="D435">
        <f>IFERROR(VLOOKUP($C435,'CHART OF ACCOUNTS'!$A:$B,2,FALSE),"")</f>
        <v/>
      </c>
      <c r="E435" s="6" t="n"/>
      <c r="F435" s="6" t="n"/>
      <c r="G435" s="6" t="n"/>
      <c r="H435" s="6" t="n"/>
      <c r="I435" s="10" t="n"/>
      <c r="J435" s="10" t="n"/>
      <c r="K435" s="6" t="n"/>
      <c r="L435" s="6" t="n"/>
      <c r="M435" s="6" t="n"/>
    </row>
    <row r="436">
      <c r="A436" s="7" t="n"/>
      <c r="B436" s="6" t="n"/>
      <c r="C436" s="6" t="n"/>
      <c r="D436">
        <f>IFERROR(VLOOKUP($C436,'CHART OF ACCOUNTS'!$A:$B,2,FALSE),"")</f>
        <v/>
      </c>
      <c r="E436" s="6" t="n"/>
      <c r="F436" s="6" t="n"/>
      <c r="G436" s="6" t="n"/>
      <c r="H436" s="6" t="n"/>
      <c r="I436" s="10" t="n"/>
      <c r="J436" s="10" t="n"/>
      <c r="K436" s="6" t="n"/>
      <c r="L436" s="6" t="n"/>
      <c r="M436" s="6" t="n"/>
    </row>
    <row r="437">
      <c r="A437" s="7" t="n"/>
      <c r="B437" s="6" t="n"/>
      <c r="C437" s="6" t="n"/>
      <c r="D437">
        <f>IFERROR(VLOOKUP($C437,'CHART OF ACCOUNTS'!$A:$B,2,FALSE),"")</f>
        <v/>
      </c>
      <c r="E437" s="6" t="n"/>
      <c r="F437" s="6" t="n"/>
      <c r="G437" s="6" t="n"/>
      <c r="H437" s="6" t="n"/>
      <c r="I437" s="10" t="n"/>
      <c r="J437" s="10" t="n"/>
      <c r="K437" s="6" t="n"/>
      <c r="L437" s="6" t="n"/>
      <c r="M437" s="6" t="n"/>
    </row>
    <row r="438">
      <c r="A438" s="7" t="n"/>
      <c r="B438" s="6" t="n"/>
      <c r="C438" s="6" t="n"/>
      <c r="D438">
        <f>IFERROR(VLOOKUP($C438,'CHART OF ACCOUNTS'!$A:$B,2,FALSE),"")</f>
        <v/>
      </c>
      <c r="E438" s="6" t="n"/>
      <c r="F438" s="6" t="n"/>
      <c r="G438" s="6" t="n"/>
      <c r="H438" s="6" t="n"/>
      <c r="I438" s="10" t="n"/>
      <c r="J438" s="10" t="n"/>
      <c r="K438" s="6" t="n"/>
      <c r="L438" s="6" t="n"/>
      <c r="M438" s="6" t="n"/>
    </row>
    <row r="439">
      <c r="A439" s="7" t="n"/>
      <c r="B439" s="6" t="n"/>
      <c r="C439" s="6" t="n"/>
      <c r="D439">
        <f>IFERROR(VLOOKUP($C439,'CHART OF ACCOUNTS'!$A:$B,2,FALSE),"")</f>
        <v/>
      </c>
      <c r="E439" s="6" t="n"/>
      <c r="F439" s="6" t="n"/>
      <c r="G439" s="6" t="n"/>
      <c r="H439" s="6" t="n"/>
      <c r="I439" s="10" t="n"/>
      <c r="J439" s="10" t="n"/>
      <c r="K439" s="6" t="n"/>
      <c r="L439" s="6" t="n"/>
      <c r="M439" s="6" t="n"/>
    </row>
    <row r="440">
      <c r="A440" s="7" t="n"/>
      <c r="B440" s="6" t="n"/>
      <c r="C440" s="6" t="n"/>
      <c r="D440">
        <f>IFERROR(VLOOKUP($C440,'CHART OF ACCOUNTS'!$A:$B,2,FALSE),"")</f>
        <v/>
      </c>
      <c r="E440" s="6" t="n"/>
      <c r="F440" s="6" t="n"/>
      <c r="G440" s="6" t="n"/>
      <c r="H440" s="6" t="n"/>
      <c r="I440" s="10" t="n"/>
      <c r="J440" s="10" t="n"/>
      <c r="K440" s="6" t="n"/>
      <c r="L440" s="6" t="n"/>
      <c r="M440" s="6" t="n"/>
    </row>
    <row r="441">
      <c r="A441" s="7" t="n"/>
      <c r="B441" s="6" t="n"/>
      <c r="C441" s="6" t="n"/>
      <c r="D441">
        <f>IFERROR(VLOOKUP($C441,'CHART OF ACCOUNTS'!$A:$B,2,FALSE),"")</f>
        <v/>
      </c>
      <c r="E441" s="6" t="n"/>
      <c r="F441" s="6" t="n"/>
      <c r="G441" s="6" t="n"/>
      <c r="H441" s="6" t="n"/>
      <c r="I441" s="10" t="n"/>
      <c r="J441" s="10" t="n"/>
      <c r="K441" s="6" t="n"/>
      <c r="L441" s="6" t="n"/>
      <c r="M441" s="6" t="n"/>
    </row>
    <row r="442">
      <c r="A442" s="7" t="n"/>
      <c r="B442" s="6" t="n"/>
      <c r="C442" s="6" t="n"/>
      <c r="D442">
        <f>IFERROR(VLOOKUP($C442,'CHART OF ACCOUNTS'!$A:$B,2,FALSE),"")</f>
        <v/>
      </c>
      <c r="E442" s="6" t="n"/>
      <c r="F442" s="6" t="n"/>
      <c r="G442" s="6" t="n"/>
      <c r="H442" s="6" t="n"/>
      <c r="I442" s="10" t="n"/>
      <c r="J442" s="10" t="n"/>
      <c r="K442" s="6" t="n"/>
      <c r="L442" s="6" t="n"/>
      <c r="M442" s="6" t="n"/>
    </row>
    <row r="443">
      <c r="A443" s="7" t="n"/>
      <c r="B443" s="6" t="n"/>
      <c r="C443" s="6" t="n"/>
      <c r="D443">
        <f>IFERROR(VLOOKUP($C443,'CHART OF ACCOUNTS'!$A:$B,2,FALSE),"")</f>
        <v/>
      </c>
      <c r="E443" s="6" t="n"/>
      <c r="F443" s="6" t="n"/>
      <c r="G443" s="6" t="n"/>
      <c r="H443" s="6" t="n"/>
      <c r="I443" s="10" t="n"/>
      <c r="J443" s="10" t="n"/>
      <c r="K443" s="6" t="n"/>
      <c r="L443" s="6" t="n"/>
      <c r="M443" s="6" t="n"/>
    </row>
    <row r="444">
      <c r="A444" s="7" t="n"/>
      <c r="B444" s="6" t="n"/>
      <c r="C444" s="6" t="n"/>
      <c r="D444">
        <f>IFERROR(VLOOKUP($C444,'CHART OF ACCOUNTS'!$A:$B,2,FALSE),"")</f>
        <v/>
      </c>
      <c r="E444" s="6" t="n"/>
      <c r="F444" s="6" t="n"/>
      <c r="G444" s="6" t="n"/>
      <c r="H444" s="6" t="n"/>
      <c r="I444" s="10" t="n"/>
      <c r="J444" s="10" t="n"/>
      <c r="K444" s="6" t="n"/>
      <c r="L444" s="6" t="n"/>
      <c r="M444" s="6" t="n"/>
    </row>
    <row r="445">
      <c r="A445" s="7" t="n"/>
      <c r="B445" s="6" t="n"/>
      <c r="C445" s="6" t="n"/>
      <c r="D445">
        <f>IFERROR(VLOOKUP($C445,'CHART OF ACCOUNTS'!$A:$B,2,FALSE),"")</f>
        <v/>
      </c>
      <c r="E445" s="6" t="n"/>
      <c r="F445" s="6" t="n"/>
      <c r="G445" s="6" t="n"/>
      <c r="H445" s="6" t="n"/>
      <c r="I445" s="10" t="n"/>
      <c r="J445" s="10" t="n"/>
      <c r="K445" s="6" t="n"/>
      <c r="L445" s="6" t="n"/>
      <c r="M445" s="6" t="n"/>
    </row>
    <row r="446">
      <c r="A446" s="7" t="n"/>
      <c r="B446" s="6" t="n"/>
      <c r="C446" s="6" t="n"/>
      <c r="D446">
        <f>IFERROR(VLOOKUP($C446,'CHART OF ACCOUNTS'!$A:$B,2,FALSE),"")</f>
        <v/>
      </c>
      <c r="E446" s="6" t="n"/>
      <c r="F446" s="6" t="n"/>
      <c r="G446" s="6" t="n"/>
      <c r="H446" s="6" t="n"/>
      <c r="I446" s="10" t="n"/>
      <c r="J446" s="10" t="n"/>
      <c r="K446" s="6" t="n"/>
      <c r="L446" s="6" t="n"/>
      <c r="M446" s="6" t="n"/>
    </row>
    <row r="447">
      <c r="A447" s="7" t="n"/>
      <c r="B447" s="6" t="n"/>
      <c r="C447" s="6" t="n"/>
      <c r="D447">
        <f>IFERROR(VLOOKUP($C447,'CHART OF ACCOUNTS'!$A:$B,2,FALSE),"")</f>
        <v/>
      </c>
      <c r="E447" s="6" t="n"/>
      <c r="F447" s="6" t="n"/>
      <c r="G447" s="6" t="n"/>
      <c r="H447" s="6" t="n"/>
      <c r="I447" s="10" t="n"/>
      <c r="J447" s="10" t="n"/>
      <c r="K447" s="6" t="n"/>
      <c r="L447" s="6" t="n"/>
      <c r="M447" s="6" t="n"/>
    </row>
    <row r="448">
      <c r="A448" s="7" t="n"/>
      <c r="B448" s="6" t="n"/>
      <c r="C448" s="6" t="n"/>
      <c r="D448">
        <f>IFERROR(VLOOKUP($C448,'CHART OF ACCOUNTS'!$A:$B,2,FALSE),"")</f>
        <v/>
      </c>
      <c r="E448" s="6" t="n"/>
      <c r="F448" s="6" t="n"/>
      <c r="G448" s="6" t="n"/>
      <c r="H448" s="6" t="n"/>
      <c r="I448" s="10" t="n"/>
      <c r="J448" s="10" t="n"/>
      <c r="K448" s="6" t="n"/>
      <c r="L448" s="6" t="n"/>
      <c r="M448" s="6" t="n"/>
    </row>
    <row r="449">
      <c r="A449" s="7" t="n"/>
      <c r="B449" s="6" t="n"/>
      <c r="C449" s="6" t="n"/>
      <c r="D449">
        <f>IFERROR(VLOOKUP($C449,'CHART OF ACCOUNTS'!$A:$B,2,FALSE),"")</f>
        <v/>
      </c>
      <c r="E449" s="6" t="n"/>
      <c r="F449" s="6" t="n"/>
      <c r="G449" s="6" t="n"/>
      <c r="H449" s="6" t="n"/>
      <c r="I449" s="10" t="n"/>
      <c r="J449" s="10" t="n"/>
      <c r="K449" s="6" t="n"/>
      <c r="L449" s="6" t="n"/>
      <c r="M449" s="6" t="n"/>
    </row>
    <row r="450">
      <c r="A450" s="7" t="n"/>
      <c r="B450" s="6" t="n"/>
      <c r="C450" s="6" t="n"/>
      <c r="D450">
        <f>IFERROR(VLOOKUP($C450,'CHART OF ACCOUNTS'!$A:$B,2,FALSE),"")</f>
        <v/>
      </c>
      <c r="E450" s="6" t="n"/>
      <c r="F450" s="6" t="n"/>
      <c r="G450" s="6" t="n"/>
      <c r="H450" s="6" t="n"/>
      <c r="I450" s="10" t="n"/>
      <c r="J450" s="10" t="n"/>
      <c r="K450" s="6" t="n"/>
      <c r="L450" s="6" t="n"/>
      <c r="M450" s="6" t="n"/>
    </row>
    <row r="451">
      <c r="A451" s="7" t="n"/>
      <c r="B451" s="6" t="n"/>
      <c r="C451" s="6" t="n"/>
      <c r="D451">
        <f>IFERROR(VLOOKUP($C451,'CHART OF ACCOUNTS'!$A:$B,2,FALSE),"")</f>
        <v/>
      </c>
      <c r="E451" s="6" t="n"/>
      <c r="F451" s="6" t="n"/>
      <c r="G451" s="6" t="n"/>
      <c r="H451" s="6" t="n"/>
      <c r="I451" s="10" t="n"/>
      <c r="J451" s="10" t="n"/>
      <c r="K451" s="6" t="n"/>
      <c r="L451" s="6" t="n"/>
      <c r="M451" s="6" t="n"/>
    </row>
    <row r="452">
      <c r="A452" s="7" t="n"/>
      <c r="B452" s="6" t="n"/>
      <c r="C452" s="6" t="n"/>
      <c r="D452">
        <f>IFERROR(VLOOKUP($C452,'CHART OF ACCOUNTS'!$A:$B,2,FALSE),"")</f>
        <v/>
      </c>
      <c r="E452" s="6" t="n"/>
      <c r="F452" s="6" t="n"/>
      <c r="G452" s="6" t="n"/>
      <c r="H452" s="6" t="n"/>
      <c r="I452" s="10" t="n"/>
      <c r="J452" s="10" t="n"/>
      <c r="K452" s="6" t="n"/>
      <c r="L452" s="6" t="n"/>
      <c r="M452" s="6" t="n"/>
    </row>
    <row r="453">
      <c r="A453" s="7" t="n"/>
      <c r="B453" s="6" t="n"/>
      <c r="C453" s="6" t="n"/>
      <c r="D453">
        <f>IFERROR(VLOOKUP($C453,'CHART OF ACCOUNTS'!$A:$B,2,FALSE),"")</f>
        <v/>
      </c>
      <c r="E453" s="6" t="n"/>
      <c r="F453" s="6" t="n"/>
      <c r="G453" s="6" t="n"/>
      <c r="H453" s="6" t="n"/>
      <c r="I453" s="10" t="n"/>
      <c r="J453" s="10" t="n"/>
      <c r="K453" s="6" t="n"/>
      <c r="L453" s="6" t="n"/>
      <c r="M453" s="6" t="n"/>
    </row>
    <row r="454">
      <c r="A454" s="7" t="n"/>
      <c r="B454" s="6" t="n"/>
      <c r="C454" s="6" t="n"/>
      <c r="D454">
        <f>IFERROR(VLOOKUP($C454,'CHART OF ACCOUNTS'!$A:$B,2,FALSE),"")</f>
        <v/>
      </c>
      <c r="E454" s="6" t="n"/>
      <c r="F454" s="6" t="n"/>
      <c r="G454" s="6" t="n"/>
      <c r="H454" s="6" t="n"/>
      <c r="I454" s="10" t="n"/>
      <c r="J454" s="10" t="n"/>
      <c r="K454" s="6" t="n"/>
      <c r="L454" s="6" t="n"/>
      <c r="M454" s="6" t="n"/>
    </row>
    <row r="455">
      <c r="A455" s="7" t="n"/>
      <c r="B455" s="6" t="n"/>
      <c r="C455" s="6" t="n"/>
      <c r="D455">
        <f>IFERROR(VLOOKUP($C455,'CHART OF ACCOUNTS'!$A:$B,2,FALSE),"")</f>
        <v/>
      </c>
      <c r="E455" s="6" t="n"/>
      <c r="F455" s="6" t="n"/>
      <c r="G455" s="6" t="n"/>
      <c r="H455" s="6" t="n"/>
      <c r="I455" s="10" t="n"/>
      <c r="J455" s="10" t="n"/>
      <c r="K455" s="6" t="n"/>
      <c r="L455" s="6" t="n"/>
      <c r="M455" s="6" t="n"/>
    </row>
    <row r="456">
      <c r="A456" s="7" t="n"/>
      <c r="B456" s="6" t="n"/>
      <c r="C456" s="6" t="n"/>
      <c r="D456">
        <f>IFERROR(VLOOKUP($C456,'CHART OF ACCOUNTS'!$A:$B,2,FALSE),"")</f>
        <v/>
      </c>
      <c r="E456" s="6" t="n"/>
      <c r="F456" s="6" t="n"/>
      <c r="G456" s="6" t="n"/>
      <c r="H456" s="6" t="n"/>
      <c r="I456" s="10" t="n"/>
      <c r="J456" s="10" t="n"/>
      <c r="K456" s="6" t="n"/>
      <c r="L456" s="6" t="n"/>
      <c r="M456" s="6" t="n"/>
    </row>
    <row r="457">
      <c r="A457" s="7" t="n"/>
      <c r="B457" s="6" t="n"/>
      <c r="C457" s="6" t="n"/>
      <c r="D457">
        <f>IFERROR(VLOOKUP($C457,'CHART OF ACCOUNTS'!$A:$B,2,FALSE),"")</f>
        <v/>
      </c>
      <c r="E457" s="6" t="n"/>
      <c r="F457" s="6" t="n"/>
      <c r="G457" s="6" t="n"/>
      <c r="H457" s="6" t="n"/>
      <c r="I457" s="10" t="n"/>
      <c r="J457" s="10" t="n"/>
      <c r="K457" s="6" t="n"/>
      <c r="L457" s="6" t="n"/>
      <c r="M457" s="6" t="n"/>
    </row>
    <row r="458">
      <c r="A458" s="7" t="n"/>
      <c r="B458" s="6" t="n"/>
      <c r="C458" s="6" t="n"/>
      <c r="D458">
        <f>IFERROR(VLOOKUP($C458,'CHART OF ACCOUNTS'!$A:$B,2,FALSE),"")</f>
        <v/>
      </c>
      <c r="E458" s="6" t="n"/>
      <c r="F458" s="6" t="n"/>
      <c r="G458" s="6" t="n"/>
      <c r="H458" s="6" t="n"/>
      <c r="I458" s="10" t="n"/>
      <c r="J458" s="10" t="n"/>
      <c r="K458" s="6" t="n"/>
      <c r="L458" s="6" t="n"/>
      <c r="M458" s="6" t="n"/>
    </row>
    <row r="459">
      <c r="A459" s="7" t="n"/>
      <c r="B459" s="6" t="n"/>
      <c r="C459" s="6" t="n"/>
      <c r="D459">
        <f>IFERROR(VLOOKUP($C459,'CHART OF ACCOUNTS'!$A:$B,2,FALSE),"")</f>
        <v/>
      </c>
      <c r="E459" s="6" t="n"/>
      <c r="F459" s="6" t="n"/>
      <c r="G459" s="6" t="n"/>
      <c r="H459" s="6" t="n"/>
      <c r="I459" s="10" t="n"/>
      <c r="J459" s="10" t="n"/>
      <c r="K459" s="6" t="n"/>
      <c r="L459" s="6" t="n"/>
      <c r="M459" s="6" t="n"/>
    </row>
    <row r="460">
      <c r="A460" s="7" t="n"/>
      <c r="B460" s="6" t="n"/>
      <c r="C460" s="6" t="n"/>
      <c r="D460">
        <f>IFERROR(VLOOKUP($C460,'CHART OF ACCOUNTS'!$A:$B,2,FALSE),"")</f>
        <v/>
      </c>
      <c r="E460" s="6" t="n"/>
      <c r="F460" s="6" t="n"/>
      <c r="G460" s="6" t="n"/>
      <c r="H460" s="6" t="n"/>
      <c r="I460" s="10" t="n"/>
      <c r="J460" s="10" t="n"/>
      <c r="K460" s="6" t="n"/>
      <c r="L460" s="6" t="n"/>
      <c r="M460" s="6" t="n"/>
    </row>
    <row r="461">
      <c r="A461" s="7" t="n"/>
      <c r="B461" s="6" t="n"/>
      <c r="C461" s="6" t="n"/>
      <c r="D461">
        <f>IFERROR(VLOOKUP($C461,'CHART OF ACCOUNTS'!$A:$B,2,FALSE),"")</f>
        <v/>
      </c>
      <c r="E461" s="6" t="n"/>
      <c r="F461" s="6" t="n"/>
      <c r="G461" s="6" t="n"/>
      <c r="H461" s="6" t="n"/>
      <c r="I461" s="10" t="n"/>
      <c r="J461" s="10" t="n"/>
      <c r="K461" s="6" t="n"/>
      <c r="L461" s="6" t="n"/>
      <c r="M461" s="6" t="n"/>
    </row>
    <row r="462">
      <c r="A462" s="7" t="n"/>
      <c r="B462" s="6" t="n"/>
      <c r="C462" s="6" t="n"/>
      <c r="D462">
        <f>IFERROR(VLOOKUP($C462,'CHART OF ACCOUNTS'!$A:$B,2,FALSE),"")</f>
        <v/>
      </c>
      <c r="E462" s="6" t="n"/>
      <c r="F462" s="6" t="n"/>
      <c r="G462" s="6" t="n"/>
      <c r="H462" s="6" t="n"/>
      <c r="I462" s="10" t="n"/>
      <c r="J462" s="10" t="n"/>
      <c r="K462" s="6" t="n"/>
      <c r="L462" s="6" t="n"/>
      <c r="M462" s="6" t="n"/>
    </row>
    <row r="463">
      <c r="A463" s="7" t="n"/>
      <c r="B463" s="6" t="n"/>
      <c r="C463" s="6" t="n"/>
      <c r="D463">
        <f>IFERROR(VLOOKUP($C463,'CHART OF ACCOUNTS'!$A:$B,2,FALSE),"")</f>
        <v/>
      </c>
      <c r="E463" s="6" t="n"/>
      <c r="F463" s="6" t="n"/>
      <c r="G463" s="6" t="n"/>
      <c r="H463" s="6" t="n"/>
      <c r="I463" s="10" t="n"/>
      <c r="J463" s="10" t="n"/>
      <c r="K463" s="6" t="n"/>
      <c r="L463" s="6" t="n"/>
      <c r="M463" s="6" t="n"/>
    </row>
    <row r="464">
      <c r="A464" s="7" t="n"/>
      <c r="B464" s="6" t="n"/>
      <c r="C464" s="6" t="n"/>
      <c r="D464">
        <f>IFERROR(VLOOKUP($C464,'CHART OF ACCOUNTS'!$A:$B,2,FALSE),"")</f>
        <v/>
      </c>
      <c r="E464" s="6" t="n"/>
      <c r="F464" s="6" t="n"/>
      <c r="G464" s="6" t="n"/>
      <c r="H464" s="6" t="n"/>
      <c r="I464" s="10" t="n"/>
      <c r="J464" s="10" t="n"/>
      <c r="K464" s="6" t="n"/>
      <c r="L464" s="6" t="n"/>
      <c r="M464" s="6" t="n"/>
    </row>
    <row r="465">
      <c r="A465" s="7" t="n"/>
      <c r="B465" s="6" t="n"/>
      <c r="C465" s="6" t="n"/>
      <c r="D465">
        <f>IFERROR(VLOOKUP($C465,'CHART OF ACCOUNTS'!$A:$B,2,FALSE),"")</f>
        <v/>
      </c>
      <c r="E465" s="6" t="n"/>
      <c r="F465" s="6" t="n"/>
      <c r="G465" s="6" t="n"/>
      <c r="H465" s="6" t="n"/>
      <c r="I465" s="10" t="n"/>
      <c r="J465" s="10" t="n"/>
      <c r="K465" s="6" t="n"/>
      <c r="L465" s="6" t="n"/>
      <c r="M465" s="6" t="n"/>
    </row>
    <row r="466">
      <c r="A466" s="7" t="n"/>
      <c r="B466" s="6" t="n"/>
      <c r="C466" s="6" t="n"/>
      <c r="D466">
        <f>IFERROR(VLOOKUP($C466,'CHART OF ACCOUNTS'!$A:$B,2,FALSE),"")</f>
        <v/>
      </c>
      <c r="E466" s="6" t="n"/>
      <c r="F466" s="6" t="n"/>
      <c r="G466" s="6" t="n"/>
      <c r="H466" s="6" t="n"/>
      <c r="I466" s="10" t="n"/>
      <c r="J466" s="10" t="n"/>
      <c r="K466" s="6" t="n"/>
      <c r="L466" s="6" t="n"/>
      <c r="M466" s="6" t="n"/>
    </row>
    <row r="467">
      <c r="A467" s="7" t="n"/>
      <c r="B467" s="6" t="n"/>
      <c r="C467" s="6" t="n"/>
      <c r="D467">
        <f>IFERROR(VLOOKUP($C467,'CHART OF ACCOUNTS'!$A:$B,2,FALSE),"")</f>
        <v/>
      </c>
      <c r="E467" s="6" t="n"/>
      <c r="F467" s="6" t="n"/>
      <c r="G467" s="6" t="n"/>
      <c r="H467" s="6" t="n"/>
      <c r="I467" s="10" t="n"/>
      <c r="J467" s="10" t="n"/>
      <c r="K467" s="6" t="n"/>
      <c r="L467" s="6" t="n"/>
      <c r="M467" s="6" t="n"/>
    </row>
    <row r="468">
      <c r="A468" s="7" t="n"/>
      <c r="B468" s="6" t="n"/>
      <c r="C468" s="6" t="n"/>
      <c r="D468">
        <f>IFERROR(VLOOKUP($C468,'CHART OF ACCOUNTS'!$A:$B,2,FALSE),"")</f>
        <v/>
      </c>
      <c r="E468" s="6" t="n"/>
      <c r="F468" s="6" t="n"/>
      <c r="G468" s="6" t="n"/>
      <c r="H468" s="6" t="n"/>
      <c r="I468" s="10" t="n"/>
      <c r="J468" s="10" t="n"/>
      <c r="K468" s="6" t="n"/>
      <c r="L468" s="6" t="n"/>
      <c r="M468" s="6" t="n"/>
    </row>
    <row r="469">
      <c r="A469" s="7" t="n"/>
      <c r="B469" s="6" t="n"/>
      <c r="C469" s="6" t="n"/>
      <c r="D469">
        <f>IFERROR(VLOOKUP($C469,'CHART OF ACCOUNTS'!$A:$B,2,FALSE),"")</f>
        <v/>
      </c>
      <c r="E469" s="6" t="n"/>
      <c r="F469" s="6" t="n"/>
      <c r="G469" s="6" t="n"/>
      <c r="H469" s="6" t="n"/>
      <c r="I469" s="10" t="n"/>
      <c r="J469" s="10" t="n"/>
      <c r="K469" s="6" t="n"/>
      <c r="L469" s="6" t="n"/>
      <c r="M469" s="6" t="n"/>
    </row>
    <row r="470">
      <c r="A470" s="7" t="n"/>
      <c r="B470" s="6" t="n"/>
      <c r="C470" s="6" t="n"/>
      <c r="D470">
        <f>IFERROR(VLOOKUP($C470,'CHART OF ACCOUNTS'!$A:$B,2,FALSE),"")</f>
        <v/>
      </c>
      <c r="E470" s="6" t="n"/>
      <c r="F470" s="6" t="n"/>
      <c r="G470" s="6" t="n"/>
      <c r="H470" s="6" t="n"/>
      <c r="I470" s="10" t="n"/>
      <c r="J470" s="10" t="n"/>
      <c r="K470" s="6" t="n"/>
      <c r="L470" s="6" t="n"/>
      <c r="M470" s="6" t="n"/>
    </row>
    <row r="471">
      <c r="A471" s="7" t="n"/>
      <c r="B471" s="6" t="n"/>
      <c r="C471" s="6" t="n"/>
      <c r="D471">
        <f>IFERROR(VLOOKUP($C471,'CHART OF ACCOUNTS'!$A:$B,2,FALSE),"")</f>
        <v/>
      </c>
      <c r="E471" s="6" t="n"/>
      <c r="F471" s="6" t="n"/>
      <c r="G471" s="6" t="n"/>
      <c r="H471" s="6" t="n"/>
      <c r="I471" s="10" t="n"/>
      <c r="J471" s="10" t="n"/>
      <c r="K471" s="6" t="n"/>
      <c r="L471" s="6" t="n"/>
      <c r="M471" s="6" t="n"/>
    </row>
    <row r="472">
      <c r="A472" s="7" t="n"/>
      <c r="B472" s="6" t="n"/>
      <c r="C472" s="6" t="n"/>
      <c r="D472">
        <f>IFERROR(VLOOKUP($C472,'CHART OF ACCOUNTS'!$A:$B,2,FALSE),"")</f>
        <v/>
      </c>
      <c r="E472" s="6" t="n"/>
      <c r="F472" s="6" t="n"/>
      <c r="G472" s="6" t="n"/>
      <c r="H472" s="6" t="n"/>
      <c r="I472" s="10" t="n"/>
      <c r="J472" s="10" t="n"/>
      <c r="K472" s="6" t="n"/>
      <c r="L472" s="6" t="n"/>
      <c r="M472" s="6" t="n"/>
    </row>
    <row r="473">
      <c r="A473" s="7" t="n"/>
      <c r="B473" s="6" t="n"/>
      <c r="C473" s="6" t="n"/>
      <c r="D473">
        <f>IFERROR(VLOOKUP($C473,'CHART OF ACCOUNTS'!$A:$B,2,FALSE),"")</f>
        <v/>
      </c>
      <c r="E473" s="6" t="n"/>
      <c r="F473" s="6" t="n"/>
      <c r="G473" s="6" t="n"/>
      <c r="H473" s="6" t="n"/>
      <c r="I473" s="10" t="n"/>
      <c r="J473" s="10" t="n"/>
      <c r="K473" s="6" t="n"/>
      <c r="L473" s="6" t="n"/>
      <c r="M473" s="6" t="n"/>
    </row>
    <row r="474">
      <c r="A474" s="7" t="n"/>
      <c r="B474" s="6" t="n"/>
      <c r="C474" s="6" t="n"/>
      <c r="D474">
        <f>IFERROR(VLOOKUP($C474,'CHART OF ACCOUNTS'!$A:$B,2,FALSE),"")</f>
        <v/>
      </c>
      <c r="E474" s="6" t="n"/>
      <c r="F474" s="6" t="n"/>
      <c r="G474" s="6" t="n"/>
      <c r="H474" s="6" t="n"/>
      <c r="I474" s="10" t="n"/>
      <c r="J474" s="10" t="n"/>
      <c r="K474" s="6" t="n"/>
      <c r="L474" s="6" t="n"/>
      <c r="M474" s="6" t="n"/>
    </row>
    <row r="475">
      <c r="A475" s="7" t="n"/>
      <c r="B475" s="6" t="n"/>
      <c r="C475" s="6" t="n"/>
      <c r="D475">
        <f>IFERROR(VLOOKUP($C475,'CHART OF ACCOUNTS'!$A:$B,2,FALSE),"")</f>
        <v/>
      </c>
      <c r="E475" s="6" t="n"/>
      <c r="F475" s="6" t="n"/>
      <c r="G475" s="6" t="n"/>
      <c r="H475" s="6" t="n"/>
      <c r="I475" s="10" t="n"/>
      <c r="J475" s="10" t="n"/>
      <c r="K475" s="6" t="n"/>
      <c r="L475" s="6" t="n"/>
      <c r="M475" s="6" t="n"/>
    </row>
    <row r="476">
      <c r="A476" s="7" t="n"/>
      <c r="B476" s="6" t="n"/>
      <c r="C476" s="6" t="n"/>
      <c r="D476">
        <f>IFERROR(VLOOKUP($C476,'CHART OF ACCOUNTS'!$A:$B,2,FALSE),"")</f>
        <v/>
      </c>
      <c r="E476" s="6" t="n"/>
      <c r="F476" s="6" t="n"/>
      <c r="G476" s="6" t="n"/>
      <c r="H476" s="6" t="n"/>
      <c r="I476" s="10" t="n"/>
      <c r="J476" s="10" t="n"/>
      <c r="K476" s="6" t="n"/>
      <c r="L476" s="6" t="n"/>
      <c r="M476" s="6" t="n"/>
    </row>
    <row r="477">
      <c r="A477" s="7" t="n"/>
      <c r="B477" s="6" t="n"/>
      <c r="C477" s="6" t="n"/>
      <c r="D477">
        <f>IFERROR(VLOOKUP($C477,'CHART OF ACCOUNTS'!$A:$B,2,FALSE),"")</f>
        <v/>
      </c>
      <c r="E477" s="6" t="n"/>
      <c r="F477" s="6" t="n"/>
      <c r="G477" s="6" t="n"/>
      <c r="H477" s="6" t="n"/>
      <c r="I477" s="10" t="n"/>
      <c r="J477" s="10" t="n"/>
      <c r="K477" s="6" t="n"/>
      <c r="L477" s="6" t="n"/>
      <c r="M477" s="6" t="n"/>
    </row>
    <row r="478">
      <c r="A478" s="7" t="n"/>
      <c r="B478" s="6" t="n"/>
      <c r="C478" s="6" t="n"/>
      <c r="D478">
        <f>IFERROR(VLOOKUP($C478,'CHART OF ACCOUNTS'!$A:$B,2,FALSE),"")</f>
        <v/>
      </c>
      <c r="E478" s="6" t="n"/>
      <c r="F478" s="6" t="n"/>
      <c r="G478" s="6" t="n"/>
      <c r="H478" s="6" t="n"/>
      <c r="I478" s="10" t="n"/>
      <c r="J478" s="10" t="n"/>
      <c r="K478" s="6" t="n"/>
      <c r="L478" s="6" t="n"/>
      <c r="M478" s="6" t="n"/>
    </row>
    <row r="479">
      <c r="A479" s="7" t="n"/>
      <c r="B479" s="6" t="n"/>
      <c r="C479" s="6" t="n"/>
      <c r="D479">
        <f>IFERROR(VLOOKUP($C479,'CHART OF ACCOUNTS'!$A:$B,2,FALSE),"")</f>
        <v/>
      </c>
      <c r="E479" s="6" t="n"/>
      <c r="F479" s="6" t="n"/>
      <c r="G479" s="6" t="n"/>
      <c r="H479" s="6" t="n"/>
      <c r="I479" s="10" t="n"/>
      <c r="J479" s="10" t="n"/>
      <c r="K479" s="6" t="n"/>
      <c r="L479" s="6" t="n"/>
      <c r="M479" s="6" t="n"/>
    </row>
    <row r="480">
      <c r="A480" s="7" t="n"/>
      <c r="B480" s="6" t="n"/>
      <c r="C480" s="6" t="n"/>
      <c r="D480">
        <f>IFERROR(VLOOKUP($C480,'CHART OF ACCOUNTS'!$A:$B,2,FALSE),"")</f>
        <v/>
      </c>
      <c r="E480" s="6" t="n"/>
      <c r="F480" s="6" t="n"/>
      <c r="G480" s="6" t="n"/>
      <c r="H480" s="6" t="n"/>
      <c r="I480" s="10" t="n"/>
      <c r="J480" s="10" t="n"/>
      <c r="K480" s="6" t="n"/>
      <c r="L480" s="6" t="n"/>
      <c r="M480" s="6" t="n"/>
    </row>
    <row r="481">
      <c r="A481" s="7" t="n"/>
      <c r="B481" s="6" t="n"/>
      <c r="C481" s="6" t="n"/>
      <c r="D481">
        <f>IFERROR(VLOOKUP($C481,'CHART OF ACCOUNTS'!$A:$B,2,FALSE),"")</f>
        <v/>
      </c>
      <c r="E481" s="6" t="n"/>
      <c r="F481" s="6" t="n"/>
      <c r="G481" s="6" t="n"/>
      <c r="H481" s="6" t="n"/>
      <c r="I481" s="10" t="n"/>
      <c r="J481" s="10" t="n"/>
      <c r="K481" s="6" t="n"/>
      <c r="L481" s="6" t="n"/>
      <c r="M481" s="6" t="n"/>
    </row>
    <row r="482">
      <c r="A482" s="7" t="n"/>
      <c r="B482" s="6" t="n"/>
      <c r="C482" s="6" t="n"/>
      <c r="D482">
        <f>IFERROR(VLOOKUP($C482,'CHART OF ACCOUNTS'!$A:$B,2,FALSE),"")</f>
        <v/>
      </c>
      <c r="E482" s="6" t="n"/>
      <c r="F482" s="6" t="n"/>
      <c r="G482" s="6" t="n"/>
      <c r="H482" s="6" t="n"/>
      <c r="I482" s="10" t="n"/>
      <c r="J482" s="10" t="n"/>
      <c r="K482" s="6" t="n"/>
      <c r="L482" s="6" t="n"/>
      <c r="M482" s="6" t="n"/>
    </row>
    <row r="483">
      <c r="A483" s="7" t="n"/>
      <c r="B483" s="6" t="n"/>
      <c r="C483" s="6" t="n"/>
      <c r="D483">
        <f>IFERROR(VLOOKUP($C483,'CHART OF ACCOUNTS'!$A:$B,2,FALSE),"")</f>
        <v/>
      </c>
      <c r="E483" s="6" t="n"/>
      <c r="F483" s="6" t="n"/>
      <c r="G483" s="6" t="n"/>
      <c r="H483" s="6" t="n"/>
      <c r="I483" s="10" t="n"/>
      <c r="J483" s="10" t="n"/>
      <c r="K483" s="6" t="n"/>
      <c r="L483" s="6" t="n"/>
      <c r="M483" s="6" t="n"/>
    </row>
    <row r="484">
      <c r="A484" s="7" t="n"/>
      <c r="B484" s="6" t="n"/>
      <c r="C484" s="6" t="n"/>
      <c r="D484">
        <f>IFERROR(VLOOKUP($C484,'CHART OF ACCOUNTS'!$A:$B,2,FALSE),"")</f>
        <v/>
      </c>
      <c r="E484" s="6" t="n"/>
      <c r="F484" s="6" t="n"/>
      <c r="G484" s="6" t="n"/>
      <c r="H484" s="6" t="n"/>
      <c r="I484" s="10" t="n"/>
      <c r="J484" s="10" t="n"/>
      <c r="K484" s="6" t="n"/>
      <c r="L484" s="6" t="n"/>
      <c r="M484" s="6" t="n"/>
    </row>
    <row r="485">
      <c r="A485" s="7" t="n"/>
      <c r="B485" s="6" t="n"/>
      <c r="C485" s="6" t="n"/>
      <c r="D485">
        <f>IFERROR(VLOOKUP($C485,'CHART OF ACCOUNTS'!$A:$B,2,FALSE),"")</f>
        <v/>
      </c>
      <c r="E485" s="6" t="n"/>
      <c r="F485" s="6" t="n"/>
      <c r="G485" s="6" t="n"/>
      <c r="H485" s="6" t="n"/>
      <c r="I485" s="10" t="n"/>
      <c r="J485" s="10" t="n"/>
      <c r="K485" s="6" t="n"/>
      <c r="L485" s="6" t="n"/>
      <c r="M485" s="6" t="n"/>
    </row>
    <row r="486">
      <c r="A486" s="7" t="n"/>
      <c r="B486" s="6" t="n"/>
      <c r="C486" s="6" t="n"/>
      <c r="D486">
        <f>IFERROR(VLOOKUP($C486,'CHART OF ACCOUNTS'!$A:$B,2,FALSE),"")</f>
        <v/>
      </c>
      <c r="E486" s="6" t="n"/>
      <c r="F486" s="6" t="n"/>
      <c r="G486" s="6" t="n"/>
      <c r="H486" s="6" t="n"/>
      <c r="I486" s="10" t="n"/>
      <c r="J486" s="10" t="n"/>
      <c r="K486" s="6" t="n"/>
      <c r="L486" s="6" t="n"/>
      <c r="M486" s="6" t="n"/>
    </row>
    <row r="487">
      <c r="A487" s="7" t="n"/>
      <c r="B487" s="6" t="n"/>
      <c r="C487" s="6" t="n"/>
      <c r="D487">
        <f>IFERROR(VLOOKUP($C487,'CHART OF ACCOUNTS'!$A:$B,2,FALSE),"")</f>
        <v/>
      </c>
      <c r="E487" s="6" t="n"/>
      <c r="F487" s="6" t="n"/>
      <c r="G487" s="6" t="n"/>
      <c r="H487" s="6" t="n"/>
      <c r="I487" s="10" t="n"/>
      <c r="J487" s="10" t="n"/>
      <c r="K487" s="6" t="n"/>
      <c r="L487" s="6" t="n"/>
      <c r="M487" s="6" t="n"/>
    </row>
    <row r="488">
      <c r="A488" s="7" t="n"/>
      <c r="B488" s="6" t="n"/>
      <c r="C488" s="6" t="n"/>
      <c r="D488">
        <f>IFERROR(VLOOKUP($C488,'CHART OF ACCOUNTS'!$A:$B,2,FALSE),"")</f>
        <v/>
      </c>
      <c r="E488" s="6" t="n"/>
      <c r="F488" s="6" t="n"/>
      <c r="G488" s="6" t="n"/>
      <c r="H488" s="6" t="n"/>
      <c r="I488" s="10" t="n"/>
      <c r="J488" s="10" t="n"/>
      <c r="K488" s="6" t="n"/>
      <c r="L488" s="6" t="n"/>
      <c r="M488" s="6" t="n"/>
    </row>
    <row r="489">
      <c r="A489" s="7" t="n"/>
      <c r="B489" s="6" t="n"/>
      <c r="C489" s="6" t="n"/>
      <c r="D489">
        <f>IFERROR(VLOOKUP($C489,'CHART OF ACCOUNTS'!$A:$B,2,FALSE),"")</f>
        <v/>
      </c>
      <c r="E489" s="6" t="n"/>
      <c r="F489" s="6" t="n"/>
      <c r="G489" s="6" t="n"/>
      <c r="H489" s="6" t="n"/>
      <c r="I489" s="10" t="n"/>
      <c r="J489" s="10" t="n"/>
      <c r="K489" s="6" t="n"/>
      <c r="L489" s="6" t="n"/>
      <c r="M489" s="6" t="n"/>
    </row>
    <row r="490">
      <c r="A490" s="7" t="n"/>
      <c r="B490" s="6" t="n"/>
      <c r="C490" s="6" t="n"/>
      <c r="D490">
        <f>IFERROR(VLOOKUP($C490,'CHART OF ACCOUNTS'!$A:$B,2,FALSE),"")</f>
        <v/>
      </c>
      <c r="E490" s="6" t="n"/>
      <c r="F490" s="6" t="n"/>
      <c r="G490" s="6" t="n"/>
      <c r="H490" s="6" t="n"/>
      <c r="I490" s="10" t="n"/>
      <c r="J490" s="10" t="n"/>
      <c r="K490" s="6" t="n"/>
      <c r="L490" s="6" t="n"/>
      <c r="M490" s="6" t="n"/>
    </row>
    <row r="491">
      <c r="A491" s="7" t="n"/>
      <c r="B491" s="6" t="n"/>
      <c r="C491" s="6" t="n"/>
      <c r="D491">
        <f>IFERROR(VLOOKUP($C491,'CHART OF ACCOUNTS'!$A:$B,2,FALSE),"")</f>
        <v/>
      </c>
      <c r="E491" s="6" t="n"/>
      <c r="F491" s="6" t="n"/>
      <c r="G491" s="6" t="n"/>
      <c r="H491" s="6" t="n"/>
      <c r="I491" s="10" t="n"/>
      <c r="J491" s="10" t="n"/>
      <c r="K491" s="6" t="n"/>
      <c r="L491" s="6" t="n"/>
      <c r="M491" s="6" t="n"/>
    </row>
    <row r="492">
      <c r="A492" s="7" t="n"/>
      <c r="B492" s="6" t="n"/>
      <c r="C492" s="6" t="n"/>
      <c r="D492">
        <f>IFERROR(VLOOKUP($C492,'CHART OF ACCOUNTS'!$A:$B,2,FALSE),"")</f>
        <v/>
      </c>
      <c r="E492" s="6" t="n"/>
      <c r="F492" s="6" t="n"/>
      <c r="G492" s="6" t="n"/>
      <c r="H492" s="6" t="n"/>
      <c r="I492" s="10" t="n"/>
      <c r="J492" s="10" t="n"/>
      <c r="K492" s="6" t="n"/>
      <c r="L492" s="6" t="n"/>
      <c r="M492" s="6" t="n"/>
    </row>
    <row r="493">
      <c r="A493" s="7" t="n"/>
      <c r="B493" s="6" t="n"/>
      <c r="C493" s="6" t="n"/>
      <c r="D493">
        <f>IFERROR(VLOOKUP($C493,'CHART OF ACCOUNTS'!$A:$B,2,FALSE),"")</f>
        <v/>
      </c>
      <c r="E493" s="6" t="n"/>
      <c r="F493" s="6" t="n"/>
      <c r="G493" s="6" t="n"/>
      <c r="H493" s="6" t="n"/>
      <c r="I493" s="10" t="n"/>
      <c r="J493" s="10" t="n"/>
      <c r="K493" s="6" t="n"/>
      <c r="L493" s="6" t="n"/>
      <c r="M493" s="6" t="n"/>
    </row>
    <row r="494">
      <c r="A494" s="7" t="n"/>
      <c r="B494" s="6" t="n"/>
      <c r="C494" s="6" t="n"/>
      <c r="D494">
        <f>IFERROR(VLOOKUP($C494,'CHART OF ACCOUNTS'!$A:$B,2,FALSE),"")</f>
        <v/>
      </c>
      <c r="E494" s="6" t="n"/>
      <c r="F494" s="6" t="n"/>
      <c r="G494" s="6" t="n"/>
      <c r="H494" s="6" t="n"/>
      <c r="I494" s="10" t="n"/>
      <c r="J494" s="10" t="n"/>
      <c r="K494" s="6" t="n"/>
      <c r="L494" s="6" t="n"/>
      <c r="M494" s="6" t="n"/>
    </row>
    <row r="495">
      <c r="A495" s="7" t="n"/>
      <c r="B495" s="6" t="n"/>
      <c r="C495" s="6" t="n"/>
      <c r="D495">
        <f>IFERROR(VLOOKUP($C495,'CHART OF ACCOUNTS'!$A:$B,2,FALSE),"")</f>
        <v/>
      </c>
      <c r="E495" s="6" t="n"/>
      <c r="F495" s="6" t="n"/>
      <c r="G495" s="6" t="n"/>
      <c r="H495" s="6" t="n"/>
      <c r="I495" s="10" t="n"/>
      <c r="J495" s="10" t="n"/>
      <c r="K495" s="6" t="n"/>
      <c r="L495" s="6" t="n"/>
      <c r="M495" s="6" t="n"/>
    </row>
    <row r="496">
      <c r="A496" s="7" t="n"/>
      <c r="B496" s="6" t="n"/>
      <c r="C496" s="6" t="n"/>
      <c r="D496">
        <f>IFERROR(VLOOKUP($C496,'CHART OF ACCOUNTS'!$A:$B,2,FALSE),"")</f>
        <v/>
      </c>
      <c r="E496" s="6" t="n"/>
      <c r="F496" s="6" t="n"/>
      <c r="G496" s="6" t="n"/>
      <c r="H496" s="6" t="n"/>
      <c r="I496" s="10" t="n"/>
      <c r="J496" s="10" t="n"/>
      <c r="K496" s="6" t="n"/>
      <c r="L496" s="6" t="n"/>
      <c r="M496" s="6" t="n"/>
    </row>
    <row r="497">
      <c r="A497" s="7" t="n"/>
      <c r="B497" s="6" t="n"/>
      <c r="C497" s="6" t="n"/>
      <c r="D497">
        <f>IFERROR(VLOOKUP($C497,'CHART OF ACCOUNTS'!$A:$B,2,FALSE),"")</f>
        <v/>
      </c>
      <c r="E497" s="6" t="n"/>
      <c r="F497" s="6" t="n"/>
      <c r="G497" s="6" t="n"/>
      <c r="H497" s="6" t="n"/>
      <c r="I497" s="10" t="n"/>
      <c r="J497" s="10" t="n"/>
      <c r="K497" s="6" t="n"/>
      <c r="L497" s="6" t="n"/>
      <c r="M497" s="6" t="n"/>
    </row>
    <row r="498">
      <c r="A498" s="7" t="n"/>
      <c r="B498" s="6" t="n"/>
      <c r="C498" s="6" t="n"/>
      <c r="D498">
        <f>IFERROR(VLOOKUP($C498,'CHART OF ACCOUNTS'!$A:$B,2,FALSE),"")</f>
        <v/>
      </c>
      <c r="E498" s="6" t="n"/>
      <c r="F498" s="6" t="n"/>
      <c r="G498" s="6" t="n"/>
      <c r="H498" s="6" t="n"/>
      <c r="I498" s="10" t="n"/>
      <c r="J498" s="10" t="n"/>
      <c r="K498" s="6" t="n"/>
      <c r="L498" s="6" t="n"/>
      <c r="M498" s="6" t="n"/>
    </row>
    <row r="499">
      <c r="A499" s="7" t="n"/>
      <c r="B499" s="6" t="n"/>
      <c r="C499" s="6" t="n"/>
      <c r="D499">
        <f>IFERROR(VLOOKUP($C499,'CHART OF ACCOUNTS'!$A:$B,2,FALSE),"")</f>
        <v/>
      </c>
      <c r="E499" s="6" t="n"/>
      <c r="F499" s="6" t="n"/>
      <c r="G499" s="6" t="n"/>
      <c r="H499" s="6" t="n"/>
      <c r="I499" s="10" t="n"/>
      <c r="J499" s="10" t="n"/>
      <c r="K499" s="6" t="n"/>
      <c r="L499" s="6" t="n"/>
      <c r="M499" s="6" t="n"/>
    </row>
    <row r="500">
      <c r="A500" s="7" t="n"/>
      <c r="B500" s="6" t="n"/>
      <c r="C500" s="6" t="n"/>
      <c r="D500">
        <f>IFERROR(VLOOKUP($C500,'CHART OF ACCOUNTS'!$A:$B,2,FALSE),"")</f>
        <v/>
      </c>
      <c r="E500" s="6" t="n"/>
      <c r="F500" s="6" t="n"/>
      <c r="G500" s="6" t="n"/>
      <c r="H500" s="6" t="n"/>
      <c r="I500" s="10" t="n"/>
      <c r="J500" s="10" t="n"/>
      <c r="K500" s="6" t="n"/>
      <c r="L500" s="6" t="n"/>
      <c r="M500" s="6" t="n"/>
    </row>
    <row r="501">
      <c r="A501" s="7" t="n"/>
      <c r="B501" s="6" t="n"/>
      <c r="C501" s="6" t="n"/>
      <c r="D501">
        <f>IFERROR(VLOOKUP($C501,'CHART OF ACCOUNTS'!$A:$B,2,FALSE),"")</f>
        <v/>
      </c>
      <c r="E501" s="6" t="n"/>
      <c r="F501" s="6" t="n"/>
      <c r="G501" s="6" t="n"/>
      <c r="H501" s="6" t="n"/>
      <c r="I501" s="10" t="n"/>
      <c r="J501" s="10" t="n"/>
      <c r="K501" s="6" t="n"/>
      <c r="L501" s="6" t="n"/>
      <c r="M501" s="6" t="n"/>
    </row>
    <row r="502">
      <c r="A502" s="7" t="n"/>
      <c r="B502" s="6" t="n"/>
      <c r="C502" s="6" t="n"/>
      <c r="D502">
        <f>IFERROR(VLOOKUP($C502,'CHART OF ACCOUNTS'!$A:$B,2,FALSE),"")</f>
        <v/>
      </c>
      <c r="E502" s="6" t="n"/>
      <c r="F502" s="6" t="n"/>
      <c r="G502" s="6" t="n"/>
      <c r="H502" s="6" t="n"/>
      <c r="I502" s="10" t="n"/>
      <c r="J502" s="10" t="n"/>
      <c r="K502" s="6" t="n"/>
      <c r="L502" s="6" t="n"/>
      <c r="M502" s="6" t="n"/>
    </row>
    <row r="503">
      <c r="A503" s="7" t="n"/>
      <c r="B503" s="6" t="n"/>
      <c r="C503" s="6" t="n"/>
      <c r="D503">
        <f>IFERROR(VLOOKUP($C503,'CHART OF ACCOUNTS'!$A:$B,2,FALSE),"")</f>
        <v/>
      </c>
      <c r="E503" s="6" t="n"/>
      <c r="F503" s="6" t="n"/>
      <c r="G503" s="6" t="n"/>
      <c r="H503" s="6" t="n"/>
      <c r="I503" s="10" t="n"/>
      <c r="J503" s="10" t="n"/>
      <c r="K503" s="6" t="n"/>
      <c r="L503" s="6" t="n"/>
      <c r="M503" s="6" t="n"/>
    </row>
    <row r="504">
      <c r="A504" s="7" t="n"/>
      <c r="B504" s="6" t="n"/>
      <c r="C504" s="6" t="n"/>
      <c r="D504">
        <f>IFERROR(VLOOKUP($C504,'CHART OF ACCOUNTS'!$A:$B,2,FALSE),"")</f>
        <v/>
      </c>
      <c r="E504" s="6" t="n"/>
      <c r="F504" s="6" t="n"/>
      <c r="G504" s="6" t="n"/>
      <c r="H504" s="6" t="n"/>
      <c r="I504" s="10" t="n"/>
      <c r="J504" s="10" t="n"/>
      <c r="K504" s="6" t="n"/>
      <c r="L504" s="6" t="n"/>
      <c r="M504" s="6" t="n"/>
    </row>
  </sheetData>
  <dataValidations count="3">
    <dataValidation sqref="C5:C504" showDropDown="0" showInputMessage="0" showErrorMessage="0" allowBlank="1" type="list">
      <formula1>='CHART OF ACCOUNTS'!$A$5:$A$56</formula1>
    </dataValidation>
    <dataValidation sqref="G5:G504" showDropDown="0" showInputMessage="0" showErrorMessage="0" allowBlank="1" type="list">
      <formula1>"B2B,B2C,Institution,Other"</formula1>
    </dataValidation>
    <dataValidation sqref="H5:H504" showDropDown="0" showInputMessage="0" showErrorMessage="0" allowBlank="1" type="list">
      <formula1>"20L Refill,20L Single-Use,5L Single-Use,Jar Deposit,N/A"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4" customWidth="1" min="1" max="1"/>
    <col width="44"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MONTHLY — engine. Never type here.</t>
        </is>
      </c>
    </row>
    <row r="2">
      <c r="A2" s="3" t="inlineStr">
        <is>
          <t>Net movement per account per month, built from JOURNAL with SUMIFS. Debit positive, credit negative.</t>
        </is>
      </c>
    </row>
    <row r="4">
      <c r="A4" s="2" t="inlineStr">
        <is>
          <t>Code</t>
        </is>
      </c>
      <c r="B4" s="2" t="inlineStr">
        <is>
          <t>Account</t>
        </is>
      </c>
      <c r="C4" s="18" t="inlineStr">
        <is>
          <t>Oct-26</t>
        </is>
      </c>
      <c r="D4" s="18" t="inlineStr">
        <is>
          <t>Nov-26</t>
        </is>
      </c>
      <c r="E4" s="18" t="inlineStr">
        <is>
          <t>Dec-26</t>
        </is>
      </c>
      <c r="F4" s="18" t="inlineStr">
        <is>
          <t>Jan-27</t>
        </is>
      </c>
      <c r="G4" s="18" t="inlineStr">
        <is>
          <t>Feb-27</t>
        </is>
      </c>
      <c r="H4" s="18" t="inlineStr">
        <is>
          <t>Mar-27</t>
        </is>
      </c>
      <c r="I4" s="18" t="inlineStr">
        <is>
          <t>Apr-27</t>
        </is>
      </c>
      <c r="J4" s="18" t="inlineStr">
        <is>
          <t>May-27</t>
        </is>
      </c>
      <c r="K4" s="18" t="inlineStr">
        <is>
          <t>Jun-27</t>
        </is>
      </c>
      <c r="L4" s="18" t="inlineStr">
        <is>
          <t>Jul-27</t>
        </is>
      </c>
      <c r="M4" s="18" t="inlineStr">
        <is>
          <t>Aug-27</t>
        </is>
      </c>
      <c r="N4" s="18" t="inlineStr">
        <is>
          <t>Sep-27</t>
        </is>
      </c>
      <c r="O4" s="18" t="inlineStr">
        <is>
          <t>FY1 TOTAL</t>
        </is>
      </c>
    </row>
    <row r="5">
      <c r="A5" t="inlineStr">
        <is>
          <t>1000</t>
        </is>
      </c>
      <c r="B5" t="inlineStr">
        <is>
          <t>Cash — bank</t>
        </is>
      </c>
      <c r="C5" s="15">
        <f>SUMIFS(JOURNAL!$I$5:$I$504,JOURNAL!$C$5:$C$504,$A5,JOURNAL!$A$5:$A$504,"&gt;="&amp;DATE(YEAR(SETUP!$B$8),MONTH(SETUP!$B$8)+0,1),JOURNAL!$A$5:$A$504,"&lt;="&amp;EOMONTH(SETUP!$B$8,0))-SUMIFS(JOURNAL!$J$5:$J$504,JOURNAL!$C$5:$C$504,$A5,JOURNAL!$A$5:$A$504,"&gt;="&amp;DATE(YEAR(SETUP!$B$8),MONTH(SETUP!$B$8)+0,1),JOURNAL!$A$5:$A$504,"&lt;="&amp;EOMONTH(SETUP!$B$8,0))</f>
        <v/>
      </c>
      <c r="D5" s="15">
        <f>SUMIFS(JOURNAL!$I$5:$I$504,JOURNAL!$C$5:$C$504,$A5,JOURNAL!$A$5:$A$504,"&gt;="&amp;DATE(YEAR(SETUP!$B$8),MONTH(SETUP!$B$8)+1,1),JOURNAL!$A$5:$A$504,"&lt;="&amp;EOMONTH(SETUP!$B$8,1))-SUMIFS(JOURNAL!$J$5:$J$504,JOURNAL!$C$5:$C$504,$A5,JOURNAL!$A$5:$A$504,"&gt;="&amp;DATE(YEAR(SETUP!$B$8),MONTH(SETUP!$B$8)+1,1),JOURNAL!$A$5:$A$504,"&lt;="&amp;EOMONTH(SETUP!$B$8,1))</f>
        <v/>
      </c>
      <c r="E5" s="15">
        <f>SUMIFS(JOURNAL!$I$5:$I$504,JOURNAL!$C$5:$C$504,$A5,JOURNAL!$A$5:$A$504,"&gt;="&amp;DATE(YEAR(SETUP!$B$8),MONTH(SETUP!$B$8)+2,1),JOURNAL!$A$5:$A$504,"&lt;="&amp;EOMONTH(SETUP!$B$8,2))-SUMIFS(JOURNAL!$J$5:$J$504,JOURNAL!$C$5:$C$504,$A5,JOURNAL!$A$5:$A$504,"&gt;="&amp;DATE(YEAR(SETUP!$B$8),MONTH(SETUP!$B$8)+2,1),JOURNAL!$A$5:$A$504,"&lt;="&amp;EOMONTH(SETUP!$B$8,2))</f>
        <v/>
      </c>
      <c r="F5" s="15">
        <f>SUMIFS(JOURNAL!$I$5:$I$504,JOURNAL!$C$5:$C$504,$A5,JOURNAL!$A$5:$A$504,"&gt;="&amp;DATE(YEAR(SETUP!$B$8),MONTH(SETUP!$B$8)+3,1),JOURNAL!$A$5:$A$504,"&lt;="&amp;EOMONTH(SETUP!$B$8,3))-SUMIFS(JOURNAL!$J$5:$J$504,JOURNAL!$C$5:$C$504,$A5,JOURNAL!$A$5:$A$504,"&gt;="&amp;DATE(YEAR(SETUP!$B$8),MONTH(SETUP!$B$8)+3,1),JOURNAL!$A$5:$A$504,"&lt;="&amp;EOMONTH(SETUP!$B$8,3))</f>
        <v/>
      </c>
      <c r="G5" s="15">
        <f>SUMIFS(JOURNAL!$I$5:$I$504,JOURNAL!$C$5:$C$504,$A5,JOURNAL!$A$5:$A$504,"&gt;="&amp;DATE(YEAR(SETUP!$B$8),MONTH(SETUP!$B$8)+4,1),JOURNAL!$A$5:$A$504,"&lt;="&amp;EOMONTH(SETUP!$B$8,4))-SUMIFS(JOURNAL!$J$5:$J$504,JOURNAL!$C$5:$C$504,$A5,JOURNAL!$A$5:$A$504,"&gt;="&amp;DATE(YEAR(SETUP!$B$8),MONTH(SETUP!$B$8)+4,1),JOURNAL!$A$5:$A$504,"&lt;="&amp;EOMONTH(SETUP!$B$8,4))</f>
        <v/>
      </c>
      <c r="H5" s="15">
        <f>SUMIFS(JOURNAL!$I$5:$I$504,JOURNAL!$C$5:$C$504,$A5,JOURNAL!$A$5:$A$504,"&gt;="&amp;DATE(YEAR(SETUP!$B$8),MONTH(SETUP!$B$8)+5,1),JOURNAL!$A$5:$A$504,"&lt;="&amp;EOMONTH(SETUP!$B$8,5))-SUMIFS(JOURNAL!$J$5:$J$504,JOURNAL!$C$5:$C$504,$A5,JOURNAL!$A$5:$A$504,"&gt;="&amp;DATE(YEAR(SETUP!$B$8),MONTH(SETUP!$B$8)+5,1),JOURNAL!$A$5:$A$504,"&lt;="&amp;EOMONTH(SETUP!$B$8,5))</f>
        <v/>
      </c>
      <c r="I5" s="15">
        <f>SUMIFS(JOURNAL!$I$5:$I$504,JOURNAL!$C$5:$C$504,$A5,JOURNAL!$A$5:$A$504,"&gt;="&amp;DATE(YEAR(SETUP!$B$8),MONTH(SETUP!$B$8)+6,1),JOURNAL!$A$5:$A$504,"&lt;="&amp;EOMONTH(SETUP!$B$8,6))-SUMIFS(JOURNAL!$J$5:$J$504,JOURNAL!$C$5:$C$504,$A5,JOURNAL!$A$5:$A$504,"&gt;="&amp;DATE(YEAR(SETUP!$B$8),MONTH(SETUP!$B$8)+6,1),JOURNAL!$A$5:$A$504,"&lt;="&amp;EOMONTH(SETUP!$B$8,6))</f>
        <v/>
      </c>
      <c r="J5" s="15">
        <f>SUMIFS(JOURNAL!$I$5:$I$504,JOURNAL!$C$5:$C$504,$A5,JOURNAL!$A$5:$A$504,"&gt;="&amp;DATE(YEAR(SETUP!$B$8),MONTH(SETUP!$B$8)+7,1),JOURNAL!$A$5:$A$504,"&lt;="&amp;EOMONTH(SETUP!$B$8,7))-SUMIFS(JOURNAL!$J$5:$J$504,JOURNAL!$C$5:$C$504,$A5,JOURNAL!$A$5:$A$504,"&gt;="&amp;DATE(YEAR(SETUP!$B$8),MONTH(SETUP!$B$8)+7,1),JOURNAL!$A$5:$A$504,"&lt;="&amp;EOMONTH(SETUP!$B$8,7))</f>
        <v/>
      </c>
      <c r="K5" s="15">
        <f>SUMIFS(JOURNAL!$I$5:$I$504,JOURNAL!$C$5:$C$504,$A5,JOURNAL!$A$5:$A$504,"&gt;="&amp;DATE(YEAR(SETUP!$B$8),MONTH(SETUP!$B$8)+8,1),JOURNAL!$A$5:$A$504,"&lt;="&amp;EOMONTH(SETUP!$B$8,8))-SUMIFS(JOURNAL!$J$5:$J$504,JOURNAL!$C$5:$C$504,$A5,JOURNAL!$A$5:$A$504,"&gt;="&amp;DATE(YEAR(SETUP!$B$8),MONTH(SETUP!$B$8)+8,1),JOURNAL!$A$5:$A$504,"&lt;="&amp;EOMONTH(SETUP!$B$8,8))</f>
        <v/>
      </c>
      <c r="L5" s="15">
        <f>SUMIFS(JOURNAL!$I$5:$I$504,JOURNAL!$C$5:$C$504,$A5,JOURNAL!$A$5:$A$504,"&gt;="&amp;DATE(YEAR(SETUP!$B$8),MONTH(SETUP!$B$8)+9,1),JOURNAL!$A$5:$A$504,"&lt;="&amp;EOMONTH(SETUP!$B$8,9))-SUMIFS(JOURNAL!$J$5:$J$504,JOURNAL!$C$5:$C$504,$A5,JOURNAL!$A$5:$A$504,"&gt;="&amp;DATE(YEAR(SETUP!$B$8),MONTH(SETUP!$B$8)+9,1),JOURNAL!$A$5:$A$504,"&lt;="&amp;EOMONTH(SETUP!$B$8,9))</f>
        <v/>
      </c>
      <c r="M5" s="15">
        <f>SUMIFS(JOURNAL!$I$5:$I$504,JOURNAL!$C$5:$C$504,$A5,JOURNAL!$A$5:$A$504,"&gt;="&amp;DATE(YEAR(SETUP!$B$8),MONTH(SETUP!$B$8)+10,1),JOURNAL!$A$5:$A$504,"&lt;="&amp;EOMONTH(SETUP!$B$8,10))-SUMIFS(JOURNAL!$J$5:$J$504,JOURNAL!$C$5:$C$504,$A5,JOURNAL!$A$5:$A$504,"&gt;="&amp;DATE(YEAR(SETUP!$B$8),MONTH(SETUP!$B$8)+10,1),JOURNAL!$A$5:$A$504,"&lt;="&amp;EOMONTH(SETUP!$B$8,10))</f>
        <v/>
      </c>
      <c r="N5" s="15">
        <f>SUMIFS(JOURNAL!$I$5:$I$504,JOURNAL!$C$5:$C$504,$A5,JOURNAL!$A$5:$A$504,"&gt;="&amp;DATE(YEAR(SETUP!$B$8),MONTH(SETUP!$B$8)+11,1),JOURNAL!$A$5:$A$504,"&lt;="&amp;EOMONTH(SETUP!$B$8,11))-SUMIFS(JOURNAL!$J$5:$J$504,JOURNAL!$C$5:$C$504,$A5,JOURNAL!$A$5:$A$504,"&gt;="&amp;DATE(YEAR(SETUP!$B$8),MONTH(SETUP!$B$8)+11,1),JOURNAL!$A$5:$A$504,"&lt;="&amp;EOMONTH(SETUP!$B$8,11))</f>
        <v/>
      </c>
      <c r="O5" s="16">
        <f>SUM(C5:N5)</f>
        <v/>
      </c>
    </row>
    <row r="6">
      <c r="A6" t="inlineStr">
        <is>
          <t>1010</t>
        </is>
      </c>
      <c r="B6" t="inlineStr">
        <is>
          <t>Cash — mobile money</t>
        </is>
      </c>
      <c r="C6" s="15">
        <f>SUMIFS(JOURNAL!$I$5:$I$504,JOURNAL!$C$5:$C$504,$A6,JOURNAL!$A$5:$A$504,"&gt;="&amp;DATE(YEAR(SETUP!$B$8),MONTH(SETUP!$B$8)+0,1),JOURNAL!$A$5:$A$504,"&lt;="&amp;EOMONTH(SETUP!$B$8,0))-SUMIFS(JOURNAL!$J$5:$J$504,JOURNAL!$C$5:$C$504,$A6,JOURNAL!$A$5:$A$504,"&gt;="&amp;DATE(YEAR(SETUP!$B$8),MONTH(SETUP!$B$8)+0,1),JOURNAL!$A$5:$A$504,"&lt;="&amp;EOMONTH(SETUP!$B$8,0))</f>
        <v/>
      </c>
      <c r="D6" s="15">
        <f>SUMIFS(JOURNAL!$I$5:$I$504,JOURNAL!$C$5:$C$504,$A6,JOURNAL!$A$5:$A$504,"&gt;="&amp;DATE(YEAR(SETUP!$B$8),MONTH(SETUP!$B$8)+1,1),JOURNAL!$A$5:$A$504,"&lt;="&amp;EOMONTH(SETUP!$B$8,1))-SUMIFS(JOURNAL!$J$5:$J$504,JOURNAL!$C$5:$C$504,$A6,JOURNAL!$A$5:$A$504,"&gt;="&amp;DATE(YEAR(SETUP!$B$8),MONTH(SETUP!$B$8)+1,1),JOURNAL!$A$5:$A$504,"&lt;="&amp;EOMONTH(SETUP!$B$8,1))</f>
        <v/>
      </c>
      <c r="E6" s="15">
        <f>SUMIFS(JOURNAL!$I$5:$I$504,JOURNAL!$C$5:$C$504,$A6,JOURNAL!$A$5:$A$504,"&gt;="&amp;DATE(YEAR(SETUP!$B$8),MONTH(SETUP!$B$8)+2,1),JOURNAL!$A$5:$A$504,"&lt;="&amp;EOMONTH(SETUP!$B$8,2))-SUMIFS(JOURNAL!$J$5:$J$504,JOURNAL!$C$5:$C$504,$A6,JOURNAL!$A$5:$A$504,"&gt;="&amp;DATE(YEAR(SETUP!$B$8),MONTH(SETUP!$B$8)+2,1),JOURNAL!$A$5:$A$504,"&lt;="&amp;EOMONTH(SETUP!$B$8,2))</f>
        <v/>
      </c>
      <c r="F6" s="15">
        <f>SUMIFS(JOURNAL!$I$5:$I$504,JOURNAL!$C$5:$C$504,$A6,JOURNAL!$A$5:$A$504,"&gt;="&amp;DATE(YEAR(SETUP!$B$8),MONTH(SETUP!$B$8)+3,1),JOURNAL!$A$5:$A$504,"&lt;="&amp;EOMONTH(SETUP!$B$8,3))-SUMIFS(JOURNAL!$J$5:$J$504,JOURNAL!$C$5:$C$504,$A6,JOURNAL!$A$5:$A$504,"&gt;="&amp;DATE(YEAR(SETUP!$B$8),MONTH(SETUP!$B$8)+3,1),JOURNAL!$A$5:$A$504,"&lt;="&amp;EOMONTH(SETUP!$B$8,3))</f>
        <v/>
      </c>
      <c r="G6" s="15">
        <f>SUMIFS(JOURNAL!$I$5:$I$504,JOURNAL!$C$5:$C$504,$A6,JOURNAL!$A$5:$A$504,"&gt;="&amp;DATE(YEAR(SETUP!$B$8),MONTH(SETUP!$B$8)+4,1),JOURNAL!$A$5:$A$504,"&lt;="&amp;EOMONTH(SETUP!$B$8,4))-SUMIFS(JOURNAL!$J$5:$J$504,JOURNAL!$C$5:$C$504,$A6,JOURNAL!$A$5:$A$504,"&gt;="&amp;DATE(YEAR(SETUP!$B$8),MONTH(SETUP!$B$8)+4,1),JOURNAL!$A$5:$A$504,"&lt;="&amp;EOMONTH(SETUP!$B$8,4))</f>
        <v/>
      </c>
      <c r="H6" s="15">
        <f>SUMIFS(JOURNAL!$I$5:$I$504,JOURNAL!$C$5:$C$504,$A6,JOURNAL!$A$5:$A$504,"&gt;="&amp;DATE(YEAR(SETUP!$B$8),MONTH(SETUP!$B$8)+5,1),JOURNAL!$A$5:$A$504,"&lt;="&amp;EOMONTH(SETUP!$B$8,5))-SUMIFS(JOURNAL!$J$5:$J$504,JOURNAL!$C$5:$C$504,$A6,JOURNAL!$A$5:$A$504,"&gt;="&amp;DATE(YEAR(SETUP!$B$8),MONTH(SETUP!$B$8)+5,1),JOURNAL!$A$5:$A$504,"&lt;="&amp;EOMONTH(SETUP!$B$8,5))</f>
        <v/>
      </c>
      <c r="I6" s="15">
        <f>SUMIFS(JOURNAL!$I$5:$I$504,JOURNAL!$C$5:$C$504,$A6,JOURNAL!$A$5:$A$504,"&gt;="&amp;DATE(YEAR(SETUP!$B$8),MONTH(SETUP!$B$8)+6,1),JOURNAL!$A$5:$A$504,"&lt;="&amp;EOMONTH(SETUP!$B$8,6))-SUMIFS(JOURNAL!$J$5:$J$504,JOURNAL!$C$5:$C$504,$A6,JOURNAL!$A$5:$A$504,"&gt;="&amp;DATE(YEAR(SETUP!$B$8),MONTH(SETUP!$B$8)+6,1),JOURNAL!$A$5:$A$504,"&lt;="&amp;EOMONTH(SETUP!$B$8,6))</f>
        <v/>
      </c>
      <c r="J6" s="15">
        <f>SUMIFS(JOURNAL!$I$5:$I$504,JOURNAL!$C$5:$C$504,$A6,JOURNAL!$A$5:$A$504,"&gt;="&amp;DATE(YEAR(SETUP!$B$8),MONTH(SETUP!$B$8)+7,1),JOURNAL!$A$5:$A$504,"&lt;="&amp;EOMONTH(SETUP!$B$8,7))-SUMIFS(JOURNAL!$J$5:$J$504,JOURNAL!$C$5:$C$504,$A6,JOURNAL!$A$5:$A$504,"&gt;="&amp;DATE(YEAR(SETUP!$B$8),MONTH(SETUP!$B$8)+7,1),JOURNAL!$A$5:$A$504,"&lt;="&amp;EOMONTH(SETUP!$B$8,7))</f>
        <v/>
      </c>
      <c r="K6" s="15">
        <f>SUMIFS(JOURNAL!$I$5:$I$504,JOURNAL!$C$5:$C$504,$A6,JOURNAL!$A$5:$A$504,"&gt;="&amp;DATE(YEAR(SETUP!$B$8),MONTH(SETUP!$B$8)+8,1),JOURNAL!$A$5:$A$504,"&lt;="&amp;EOMONTH(SETUP!$B$8,8))-SUMIFS(JOURNAL!$J$5:$J$504,JOURNAL!$C$5:$C$504,$A6,JOURNAL!$A$5:$A$504,"&gt;="&amp;DATE(YEAR(SETUP!$B$8),MONTH(SETUP!$B$8)+8,1),JOURNAL!$A$5:$A$504,"&lt;="&amp;EOMONTH(SETUP!$B$8,8))</f>
        <v/>
      </c>
      <c r="L6" s="15">
        <f>SUMIFS(JOURNAL!$I$5:$I$504,JOURNAL!$C$5:$C$504,$A6,JOURNAL!$A$5:$A$504,"&gt;="&amp;DATE(YEAR(SETUP!$B$8),MONTH(SETUP!$B$8)+9,1),JOURNAL!$A$5:$A$504,"&lt;="&amp;EOMONTH(SETUP!$B$8,9))-SUMIFS(JOURNAL!$J$5:$J$504,JOURNAL!$C$5:$C$504,$A6,JOURNAL!$A$5:$A$504,"&gt;="&amp;DATE(YEAR(SETUP!$B$8),MONTH(SETUP!$B$8)+9,1),JOURNAL!$A$5:$A$504,"&lt;="&amp;EOMONTH(SETUP!$B$8,9))</f>
        <v/>
      </c>
      <c r="M6" s="15">
        <f>SUMIFS(JOURNAL!$I$5:$I$504,JOURNAL!$C$5:$C$504,$A6,JOURNAL!$A$5:$A$504,"&gt;="&amp;DATE(YEAR(SETUP!$B$8),MONTH(SETUP!$B$8)+10,1),JOURNAL!$A$5:$A$504,"&lt;="&amp;EOMONTH(SETUP!$B$8,10))-SUMIFS(JOURNAL!$J$5:$J$504,JOURNAL!$C$5:$C$504,$A6,JOURNAL!$A$5:$A$504,"&gt;="&amp;DATE(YEAR(SETUP!$B$8),MONTH(SETUP!$B$8)+10,1),JOURNAL!$A$5:$A$504,"&lt;="&amp;EOMONTH(SETUP!$B$8,10))</f>
        <v/>
      </c>
      <c r="N6" s="15">
        <f>SUMIFS(JOURNAL!$I$5:$I$504,JOURNAL!$C$5:$C$504,$A6,JOURNAL!$A$5:$A$504,"&gt;="&amp;DATE(YEAR(SETUP!$B$8),MONTH(SETUP!$B$8)+11,1),JOURNAL!$A$5:$A$504,"&lt;="&amp;EOMONTH(SETUP!$B$8,11))-SUMIFS(JOURNAL!$J$5:$J$504,JOURNAL!$C$5:$C$504,$A6,JOURNAL!$A$5:$A$504,"&gt;="&amp;DATE(YEAR(SETUP!$B$8),MONTH(SETUP!$B$8)+11,1),JOURNAL!$A$5:$A$504,"&lt;="&amp;EOMONTH(SETUP!$B$8,11))</f>
        <v/>
      </c>
      <c r="O6" s="16">
        <f>SUM(C6:N6)</f>
        <v/>
      </c>
    </row>
    <row r="7">
      <c r="A7" t="inlineStr">
        <is>
          <t>1020</t>
        </is>
      </c>
      <c r="B7" t="inlineStr">
        <is>
          <t>Cash — petty cash</t>
        </is>
      </c>
      <c r="C7" s="15">
        <f>SUMIFS(JOURNAL!$I$5:$I$504,JOURNAL!$C$5:$C$504,$A7,JOURNAL!$A$5:$A$504,"&gt;="&amp;DATE(YEAR(SETUP!$B$8),MONTH(SETUP!$B$8)+0,1),JOURNAL!$A$5:$A$504,"&lt;="&amp;EOMONTH(SETUP!$B$8,0))-SUMIFS(JOURNAL!$J$5:$J$504,JOURNAL!$C$5:$C$504,$A7,JOURNAL!$A$5:$A$504,"&gt;="&amp;DATE(YEAR(SETUP!$B$8),MONTH(SETUP!$B$8)+0,1),JOURNAL!$A$5:$A$504,"&lt;="&amp;EOMONTH(SETUP!$B$8,0))</f>
        <v/>
      </c>
      <c r="D7" s="15">
        <f>SUMIFS(JOURNAL!$I$5:$I$504,JOURNAL!$C$5:$C$504,$A7,JOURNAL!$A$5:$A$504,"&gt;="&amp;DATE(YEAR(SETUP!$B$8),MONTH(SETUP!$B$8)+1,1),JOURNAL!$A$5:$A$504,"&lt;="&amp;EOMONTH(SETUP!$B$8,1))-SUMIFS(JOURNAL!$J$5:$J$504,JOURNAL!$C$5:$C$504,$A7,JOURNAL!$A$5:$A$504,"&gt;="&amp;DATE(YEAR(SETUP!$B$8),MONTH(SETUP!$B$8)+1,1),JOURNAL!$A$5:$A$504,"&lt;="&amp;EOMONTH(SETUP!$B$8,1))</f>
        <v/>
      </c>
      <c r="E7" s="15">
        <f>SUMIFS(JOURNAL!$I$5:$I$504,JOURNAL!$C$5:$C$504,$A7,JOURNAL!$A$5:$A$504,"&gt;="&amp;DATE(YEAR(SETUP!$B$8),MONTH(SETUP!$B$8)+2,1),JOURNAL!$A$5:$A$504,"&lt;="&amp;EOMONTH(SETUP!$B$8,2))-SUMIFS(JOURNAL!$J$5:$J$504,JOURNAL!$C$5:$C$504,$A7,JOURNAL!$A$5:$A$504,"&gt;="&amp;DATE(YEAR(SETUP!$B$8),MONTH(SETUP!$B$8)+2,1),JOURNAL!$A$5:$A$504,"&lt;="&amp;EOMONTH(SETUP!$B$8,2))</f>
        <v/>
      </c>
      <c r="F7" s="15">
        <f>SUMIFS(JOURNAL!$I$5:$I$504,JOURNAL!$C$5:$C$504,$A7,JOURNAL!$A$5:$A$504,"&gt;="&amp;DATE(YEAR(SETUP!$B$8),MONTH(SETUP!$B$8)+3,1),JOURNAL!$A$5:$A$504,"&lt;="&amp;EOMONTH(SETUP!$B$8,3))-SUMIFS(JOURNAL!$J$5:$J$504,JOURNAL!$C$5:$C$504,$A7,JOURNAL!$A$5:$A$504,"&gt;="&amp;DATE(YEAR(SETUP!$B$8),MONTH(SETUP!$B$8)+3,1),JOURNAL!$A$5:$A$504,"&lt;="&amp;EOMONTH(SETUP!$B$8,3))</f>
        <v/>
      </c>
      <c r="G7" s="15">
        <f>SUMIFS(JOURNAL!$I$5:$I$504,JOURNAL!$C$5:$C$504,$A7,JOURNAL!$A$5:$A$504,"&gt;="&amp;DATE(YEAR(SETUP!$B$8),MONTH(SETUP!$B$8)+4,1),JOURNAL!$A$5:$A$504,"&lt;="&amp;EOMONTH(SETUP!$B$8,4))-SUMIFS(JOURNAL!$J$5:$J$504,JOURNAL!$C$5:$C$504,$A7,JOURNAL!$A$5:$A$504,"&gt;="&amp;DATE(YEAR(SETUP!$B$8),MONTH(SETUP!$B$8)+4,1),JOURNAL!$A$5:$A$504,"&lt;="&amp;EOMONTH(SETUP!$B$8,4))</f>
        <v/>
      </c>
      <c r="H7" s="15">
        <f>SUMIFS(JOURNAL!$I$5:$I$504,JOURNAL!$C$5:$C$504,$A7,JOURNAL!$A$5:$A$504,"&gt;="&amp;DATE(YEAR(SETUP!$B$8),MONTH(SETUP!$B$8)+5,1),JOURNAL!$A$5:$A$504,"&lt;="&amp;EOMONTH(SETUP!$B$8,5))-SUMIFS(JOURNAL!$J$5:$J$504,JOURNAL!$C$5:$C$504,$A7,JOURNAL!$A$5:$A$504,"&gt;="&amp;DATE(YEAR(SETUP!$B$8),MONTH(SETUP!$B$8)+5,1),JOURNAL!$A$5:$A$504,"&lt;="&amp;EOMONTH(SETUP!$B$8,5))</f>
        <v/>
      </c>
      <c r="I7" s="15">
        <f>SUMIFS(JOURNAL!$I$5:$I$504,JOURNAL!$C$5:$C$504,$A7,JOURNAL!$A$5:$A$504,"&gt;="&amp;DATE(YEAR(SETUP!$B$8),MONTH(SETUP!$B$8)+6,1),JOURNAL!$A$5:$A$504,"&lt;="&amp;EOMONTH(SETUP!$B$8,6))-SUMIFS(JOURNAL!$J$5:$J$504,JOURNAL!$C$5:$C$504,$A7,JOURNAL!$A$5:$A$504,"&gt;="&amp;DATE(YEAR(SETUP!$B$8),MONTH(SETUP!$B$8)+6,1),JOURNAL!$A$5:$A$504,"&lt;="&amp;EOMONTH(SETUP!$B$8,6))</f>
        <v/>
      </c>
      <c r="J7" s="15">
        <f>SUMIFS(JOURNAL!$I$5:$I$504,JOURNAL!$C$5:$C$504,$A7,JOURNAL!$A$5:$A$504,"&gt;="&amp;DATE(YEAR(SETUP!$B$8),MONTH(SETUP!$B$8)+7,1),JOURNAL!$A$5:$A$504,"&lt;="&amp;EOMONTH(SETUP!$B$8,7))-SUMIFS(JOURNAL!$J$5:$J$504,JOURNAL!$C$5:$C$504,$A7,JOURNAL!$A$5:$A$504,"&gt;="&amp;DATE(YEAR(SETUP!$B$8),MONTH(SETUP!$B$8)+7,1),JOURNAL!$A$5:$A$504,"&lt;="&amp;EOMONTH(SETUP!$B$8,7))</f>
        <v/>
      </c>
      <c r="K7" s="15">
        <f>SUMIFS(JOURNAL!$I$5:$I$504,JOURNAL!$C$5:$C$504,$A7,JOURNAL!$A$5:$A$504,"&gt;="&amp;DATE(YEAR(SETUP!$B$8),MONTH(SETUP!$B$8)+8,1),JOURNAL!$A$5:$A$504,"&lt;="&amp;EOMONTH(SETUP!$B$8,8))-SUMIFS(JOURNAL!$J$5:$J$504,JOURNAL!$C$5:$C$504,$A7,JOURNAL!$A$5:$A$504,"&gt;="&amp;DATE(YEAR(SETUP!$B$8),MONTH(SETUP!$B$8)+8,1),JOURNAL!$A$5:$A$504,"&lt;="&amp;EOMONTH(SETUP!$B$8,8))</f>
        <v/>
      </c>
      <c r="L7" s="15">
        <f>SUMIFS(JOURNAL!$I$5:$I$504,JOURNAL!$C$5:$C$504,$A7,JOURNAL!$A$5:$A$504,"&gt;="&amp;DATE(YEAR(SETUP!$B$8),MONTH(SETUP!$B$8)+9,1),JOURNAL!$A$5:$A$504,"&lt;="&amp;EOMONTH(SETUP!$B$8,9))-SUMIFS(JOURNAL!$J$5:$J$504,JOURNAL!$C$5:$C$504,$A7,JOURNAL!$A$5:$A$504,"&gt;="&amp;DATE(YEAR(SETUP!$B$8),MONTH(SETUP!$B$8)+9,1),JOURNAL!$A$5:$A$504,"&lt;="&amp;EOMONTH(SETUP!$B$8,9))</f>
        <v/>
      </c>
      <c r="M7" s="15">
        <f>SUMIFS(JOURNAL!$I$5:$I$504,JOURNAL!$C$5:$C$504,$A7,JOURNAL!$A$5:$A$504,"&gt;="&amp;DATE(YEAR(SETUP!$B$8),MONTH(SETUP!$B$8)+10,1),JOURNAL!$A$5:$A$504,"&lt;="&amp;EOMONTH(SETUP!$B$8,10))-SUMIFS(JOURNAL!$J$5:$J$504,JOURNAL!$C$5:$C$504,$A7,JOURNAL!$A$5:$A$504,"&gt;="&amp;DATE(YEAR(SETUP!$B$8),MONTH(SETUP!$B$8)+10,1),JOURNAL!$A$5:$A$504,"&lt;="&amp;EOMONTH(SETUP!$B$8,10))</f>
        <v/>
      </c>
      <c r="N7" s="15">
        <f>SUMIFS(JOURNAL!$I$5:$I$504,JOURNAL!$C$5:$C$504,$A7,JOURNAL!$A$5:$A$504,"&gt;="&amp;DATE(YEAR(SETUP!$B$8),MONTH(SETUP!$B$8)+11,1),JOURNAL!$A$5:$A$504,"&lt;="&amp;EOMONTH(SETUP!$B$8,11))-SUMIFS(JOURNAL!$J$5:$J$504,JOURNAL!$C$5:$C$504,$A7,JOURNAL!$A$5:$A$504,"&gt;="&amp;DATE(YEAR(SETUP!$B$8),MONTH(SETUP!$B$8)+11,1),JOURNAL!$A$5:$A$504,"&lt;="&amp;EOMONTH(SETUP!$B$8,11))</f>
        <v/>
      </c>
      <c r="O7" s="16">
        <f>SUM(C7:N7)</f>
        <v/>
      </c>
    </row>
    <row r="8">
      <c r="A8" t="inlineStr">
        <is>
          <t>1100</t>
        </is>
      </c>
      <c r="B8" t="inlineStr">
        <is>
          <t>Trade receivables</t>
        </is>
      </c>
      <c r="C8" s="15">
        <f>SUMIFS(JOURNAL!$I$5:$I$504,JOURNAL!$C$5:$C$504,$A8,JOURNAL!$A$5:$A$504,"&gt;="&amp;DATE(YEAR(SETUP!$B$8),MONTH(SETUP!$B$8)+0,1),JOURNAL!$A$5:$A$504,"&lt;="&amp;EOMONTH(SETUP!$B$8,0))-SUMIFS(JOURNAL!$J$5:$J$504,JOURNAL!$C$5:$C$504,$A8,JOURNAL!$A$5:$A$504,"&gt;="&amp;DATE(YEAR(SETUP!$B$8),MONTH(SETUP!$B$8)+0,1),JOURNAL!$A$5:$A$504,"&lt;="&amp;EOMONTH(SETUP!$B$8,0))</f>
        <v/>
      </c>
      <c r="D8" s="15">
        <f>SUMIFS(JOURNAL!$I$5:$I$504,JOURNAL!$C$5:$C$504,$A8,JOURNAL!$A$5:$A$504,"&gt;="&amp;DATE(YEAR(SETUP!$B$8),MONTH(SETUP!$B$8)+1,1),JOURNAL!$A$5:$A$504,"&lt;="&amp;EOMONTH(SETUP!$B$8,1))-SUMIFS(JOURNAL!$J$5:$J$504,JOURNAL!$C$5:$C$504,$A8,JOURNAL!$A$5:$A$504,"&gt;="&amp;DATE(YEAR(SETUP!$B$8),MONTH(SETUP!$B$8)+1,1),JOURNAL!$A$5:$A$504,"&lt;="&amp;EOMONTH(SETUP!$B$8,1))</f>
        <v/>
      </c>
      <c r="E8" s="15">
        <f>SUMIFS(JOURNAL!$I$5:$I$504,JOURNAL!$C$5:$C$504,$A8,JOURNAL!$A$5:$A$504,"&gt;="&amp;DATE(YEAR(SETUP!$B$8),MONTH(SETUP!$B$8)+2,1),JOURNAL!$A$5:$A$504,"&lt;="&amp;EOMONTH(SETUP!$B$8,2))-SUMIFS(JOURNAL!$J$5:$J$504,JOURNAL!$C$5:$C$504,$A8,JOURNAL!$A$5:$A$504,"&gt;="&amp;DATE(YEAR(SETUP!$B$8),MONTH(SETUP!$B$8)+2,1),JOURNAL!$A$5:$A$504,"&lt;="&amp;EOMONTH(SETUP!$B$8,2))</f>
        <v/>
      </c>
      <c r="F8" s="15">
        <f>SUMIFS(JOURNAL!$I$5:$I$504,JOURNAL!$C$5:$C$504,$A8,JOURNAL!$A$5:$A$504,"&gt;="&amp;DATE(YEAR(SETUP!$B$8),MONTH(SETUP!$B$8)+3,1),JOURNAL!$A$5:$A$504,"&lt;="&amp;EOMONTH(SETUP!$B$8,3))-SUMIFS(JOURNAL!$J$5:$J$504,JOURNAL!$C$5:$C$504,$A8,JOURNAL!$A$5:$A$504,"&gt;="&amp;DATE(YEAR(SETUP!$B$8),MONTH(SETUP!$B$8)+3,1),JOURNAL!$A$5:$A$504,"&lt;="&amp;EOMONTH(SETUP!$B$8,3))</f>
        <v/>
      </c>
      <c r="G8" s="15">
        <f>SUMIFS(JOURNAL!$I$5:$I$504,JOURNAL!$C$5:$C$504,$A8,JOURNAL!$A$5:$A$504,"&gt;="&amp;DATE(YEAR(SETUP!$B$8),MONTH(SETUP!$B$8)+4,1),JOURNAL!$A$5:$A$504,"&lt;="&amp;EOMONTH(SETUP!$B$8,4))-SUMIFS(JOURNAL!$J$5:$J$504,JOURNAL!$C$5:$C$504,$A8,JOURNAL!$A$5:$A$504,"&gt;="&amp;DATE(YEAR(SETUP!$B$8),MONTH(SETUP!$B$8)+4,1),JOURNAL!$A$5:$A$504,"&lt;="&amp;EOMONTH(SETUP!$B$8,4))</f>
        <v/>
      </c>
      <c r="H8" s="15">
        <f>SUMIFS(JOURNAL!$I$5:$I$504,JOURNAL!$C$5:$C$504,$A8,JOURNAL!$A$5:$A$504,"&gt;="&amp;DATE(YEAR(SETUP!$B$8),MONTH(SETUP!$B$8)+5,1),JOURNAL!$A$5:$A$504,"&lt;="&amp;EOMONTH(SETUP!$B$8,5))-SUMIFS(JOURNAL!$J$5:$J$504,JOURNAL!$C$5:$C$504,$A8,JOURNAL!$A$5:$A$504,"&gt;="&amp;DATE(YEAR(SETUP!$B$8),MONTH(SETUP!$B$8)+5,1),JOURNAL!$A$5:$A$504,"&lt;="&amp;EOMONTH(SETUP!$B$8,5))</f>
        <v/>
      </c>
      <c r="I8" s="15">
        <f>SUMIFS(JOURNAL!$I$5:$I$504,JOURNAL!$C$5:$C$504,$A8,JOURNAL!$A$5:$A$504,"&gt;="&amp;DATE(YEAR(SETUP!$B$8),MONTH(SETUP!$B$8)+6,1),JOURNAL!$A$5:$A$504,"&lt;="&amp;EOMONTH(SETUP!$B$8,6))-SUMIFS(JOURNAL!$J$5:$J$504,JOURNAL!$C$5:$C$504,$A8,JOURNAL!$A$5:$A$504,"&gt;="&amp;DATE(YEAR(SETUP!$B$8),MONTH(SETUP!$B$8)+6,1),JOURNAL!$A$5:$A$504,"&lt;="&amp;EOMONTH(SETUP!$B$8,6))</f>
        <v/>
      </c>
      <c r="J8" s="15">
        <f>SUMIFS(JOURNAL!$I$5:$I$504,JOURNAL!$C$5:$C$504,$A8,JOURNAL!$A$5:$A$504,"&gt;="&amp;DATE(YEAR(SETUP!$B$8),MONTH(SETUP!$B$8)+7,1),JOURNAL!$A$5:$A$504,"&lt;="&amp;EOMONTH(SETUP!$B$8,7))-SUMIFS(JOURNAL!$J$5:$J$504,JOURNAL!$C$5:$C$504,$A8,JOURNAL!$A$5:$A$504,"&gt;="&amp;DATE(YEAR(SETUP!$B$8),MONTH(SETUP!$B$8)+7,1),JOURNAL!$A$5:$A$504,"&lt;="&amp;EOMONTH(SETUP!$B$8,7))</f>
        <v/>
      </c>
      <c r="K8" s="15">
        <f>SUMIFS(JOURNAL!$I$5:$I$504,JOURNAL!$C$5:$C$504,$A8,JOURNAL!$A$5:$A$504,"&gt;="&amp;DATE(YEAR(SETUP!$B$8),MONTH(SETUP!$B$8)+8,1),JOURNAL!$A$5:$A$504,"&lt;="&amp;EOMONTH(SETUP!$B$8,8))-SUMIFS(JOURNAL!$J$5:$J$504,JOURNAL!$C$5:$C$504,$A8,JOURNAL!$A$5:$A$504,"&gt;="&amp;DATE(YEAR(SETUP!$B$8),MONTH(SETUP!$B$8)+8,1),JOURNAL!$A$5:$A$504,"&lt;="&amp;EOMONTH(SETUP!$B$8,8))</f>
        <v/>
      </c>
      <c r="L8" s="15">
        <f>SUMIFS(JOURNAL!$I$5:$I$504,JOURNAL!$C$5:$C$504,$A8,JOURNAL!$A$5:$A$504,"&gt;="&amp;DATE(YEAR(SETUP!$B$8),MONTH(SETUP!$B$8)+9,1),JOURNAL!$A$5:$A$504,"&lt;="&amp;EOMONTH(SETUP!$B$8,9))-SUMIFS(JOURNAL!$J$5:$J$504,JOURNAL!$C$5:$C$504,$A8,JOURNAL!$A$5:$A$504,"&gt;="&amp;DATE(YEAR(SETUP!$B$8),MONTH(SETUP!$B$8)+9,1),JOURNAL!$A$5:$A$504,"&lt;="&amp;EOMONTH(SETUP!$B$8,9))</f>
        <v/>
      </c>
      <c r="M8" s="15">
        <f>SUMIFS(JOURNAL!$I$5:$I$504,JOURNAL!$C$5:$C$504,$A8,JOURNAL!$A$5:$A$504,"&gt;="&amp;DATE(YEAR(SETUP!$B$8),MONTH(SETUP!$B$8)+10,1),JOURNAL!$A$5:$A$504,"&lt;="&amp;EOMONTH(SETUP!$B$8,10))-SUMIFS(JOURNAL!$J$5:$J$504,JOURNAL!$C$5:$C$504,$A8,JOURNAL!$A$5:$A$504,"&gt;="&amp;DATE(YEAR(SETUP!$B$8),MONTH(SETUP!$B$8)+10,1),JOURNAL!$A$5:$A$504,"&lt;="&amp;EOMONTH(SETUP!$B$8,10))</f>
        <v/>
      </c>
      <c r="N8" s="15">
        <f>SUMIFS(JOURNAL!$I$5:$I$504,JOURNAL!$C$5:$C$504,$A8,JOURNAL!$A$5:$A$504,"&gt;="&amp;DATE(YEAR(SETUP!$B$8),MONTH(SETUP!$B$8)+11,1),JOURNAL!$A$5:$A$504,"&lt;="&amp;EOMONTH(SETUP!$B$8,11))-SUMIFS(JOURNAL!$J$5:$J$504,JOURNAL!$C$5:$C$504,$A8,JOURNAL!$A$5:$A$504,"&gt;="&amp;DATE(YEAR(SETUP!$B$8),MONTH(SETUP!$B$8)+11,1),JOURNAL!$A$5:$A$504,"&lt;="&amp;EOMONTH(SETUP!$B$8,11))</f>
        <v/>
      </c>
      <c r="O8" s="16">
        <f>SUM(C8:N8)</f>
        <v/>
      </c>
    </row>
    <row r="9">
      <c r="A9" t="inlineStr">
        <is>
          <t>1200</t>
        </is>
      </c>
      <c r="B9" t="inlineStr">
        <is>
          <t>Inventory — preforms and bottles</t>
        </is>
      </c>
      <c r="C9" s="15">
        <f>SUMIFS(JOURNAL!$I$5:$I$504,JOURNAL!$C$5:$C$504,$A9,JOURNAL!$A$5:$A$504,"&gt;="&amp;DATE(YEAR(SETUP!$B$8),MONTH(SETUP!$B$8)+0,1),JOURNAL!$A$5:$A$504,"&lt;="&amp;EOMONTH(SETUP!$B$8,0))-SUMIFS(JOURNAL!$J$5:$J$504,JOURNAL!$C$5:$C$504,$A9,JOURNAL!$A$5:$A$504,"&gt;="&amp;DATE(YEAR(SETUP!$B$8),MONTH(SETUP!$B$8)+0,1),JOURNAL!$A$5:$A$504,"&lt;="&amp;EOMONTH(SETUP!$B$8,0))</f>
        <v/>
      </c>
      <c r="D9" s="15">
        <f>SUMIFS(JOURNAL!$I$5:$I$504,JOURNAL!$C$5:$C$504,$A9,JOURNAL!$A$5:$A$504,"&gt;="&amp;DATE(YEAR(SETUP!$B$8),MONTH(SETUP!$B$8)+1,1),JOURNAL!$A$5:$A$504,"&lt;="&amp;EOMONTH(SETUP!$B$8,1))-SUMIFS(JOURNAL!$J$5:$J$504,JOURNAL!$C$5:$C$504,$A9,JOURNAL!$A$5:$A$504,"&gt;="&amp;DATE(YEAR(SETUP!$B$8),MONTH(SETUP!$B$8)+1,1),JOURNAL!$A$5:$A$504,"&lt;="&amp;EOMONTH(SETUP!$B$8,1))</f>
        <v/>
      </c>
      <c r="E9" s="15">
        <f>SUMIFS(JOURNAL!$I$5:$I$504,JOURNAL!$C$5:$C$504,$A9,JOURNAL!$A$5:$A$504,"&gt;="&amp;DATE(YEAR(SETUP!$B$8),MONTH(SETUP!$B$8)+2,1),JOURNAL!$A$5:$A$504,"&lt;="&amp;EOMONTH(SETUP!$B$8,2))-SUMIFS(JOURNAL!$J$5:$J$504,JOURNAL!$C$5:$C$504,$A9,JOURNAL!$A$5:$A$504,"&gt;="&amp;DATE(YEAR(SETUP!$B$8),MONTH(SETUP!$B$8)+2,1),JOURNAL!$A$5:$A$504,"&lt;="&amp;EOMONTH(SETUP!$B$8,2))</f>
        <v/>
      </c>
      <c r="F9" s="15">
        <f>SUMIFS(JOURNAL!$I$5:$I$504,JOURNAL!$C$5:$C$504,$A9,JOURNAL!$A$5:$A$504,"&gt;="&amp;DATE(YEAR(SETUP!$B$8),MONTH(SETUP!$B$8)+3,1),JOURNAL!$A$5:$A$504,"&lt;="&amp;EOMONTH(SETUP!$B$8,3))-SUMIFS(JOURNAL!$J$5:$J$504,JOURNAL!$C$5:$C$504,$A9,JOURNAL!$A$5:$A$504,"&gt;="&amp;DATE(YEAR(SETUP!$B$8),MONTH(SETUP!$B$8)+3,1),JOURNAL!$A$5:$A$504,"&lt;="&amp;EOMONTH(SETUP!$B$8,3))</f>
        <v/>
      </c>
      <c r="G9" s="15">
        <f>SUMIFS(JOURNAL!$I$5:$I$504,JOURNAL!$C$5:$C$504,$A9,JOURNAL!$A$5:$A$504,"&gt;="&amp;DATE(YEAR(SETUP!$B$8),MONTH(SETUP!$B$8)+4,1),JOURNAL!$A$5:$A$504,"&lt;="&amp;EOMONTH(SETUP!$B$8,4))-SUMIFS(JOURNAL!$J$5:$J$504,JOURNAL!$C$5:$C$504,$A9,JOURNAL!$A$5:$A$504,"&gt;="&amp;DATE(YEAR(SETUP!$B$8),MONTH(SETUP!$B$8)+4,1),JOURNAL!$A$5:$A$504,"&lt;="&amp;EOMONTH(SETUP!$B$8,4))</f>
        <v/>
      </c>
      <c r="H9" s="15">
        <f>SUMIFS(JOURNAL!$I$5:$I$504,JOURNAL!$C$5:$C$504,$A9,JOURNAL!$A$5:$A$504,"&gt;="&amp;DATE(YEAR(SETUP!$B$8),MONTH(SETUP!$B$8)+5,1),JOURNAL!$A$5:$A$504,"&lt;="&amp;EOMONTH(SETUP!$B$8,5))-SUMIFS(JOURNAL!$J$5:$J$504,JOURNAL!$C$5:$C$504,$A9,JOURNAL!$A$5:$A$504,"&gt;="&amp;DATE(YEAR(SETUP!$B$8),MONTH(SETUP!$B$8)+5,1),JOURNAL!$A$5:$A$504,"&lt;="&amp;EOMONTH(SETUP!$B$8,5))</f>
        <v/>
      </c>
      <c r="I9" s="15">
        <f>SUMIFS(JOURNAL!$I$5:$I$504,JOURNAL!$C$5:$C$504,$A9,JOURNAL!$A$5:$A$504,"&gt;="&amp;DATE(YEAR(SETUP!$B$8),MONTH(SETUP!$B$8)+6,1),JOURNAL!$A$5:$A$504,"&lt;="&amp;EOMONTH(SETUP!$B$8,6))-SUMIFS(JOURNAL!$J$5:$J$504,JOURNAL!$C$5:$C$504,$A9,JOURNAL!$A$5:$A$504,"&gt;="&amp;DATE(YEAR(SETUP!$B$8),MONTH(SETUP!$B$8)+6,1),JOURNAL!$A$5:$A$504,"&lt;="&amp;EOMONTH(SETUP!$B$8,6))</f>
        <v/>
      </c>
      <c r="J9" s="15">
        <f>SUMIFS(JOURNAL!$I$5:$I$504,JOURNAL!$C$5:$C$504,$A9,JOURNAL!$A$5:$A$504,"&gt;="&amp;DATE(YEAR(SETUP!$B$8),MONTH(SETUP!$B$8)+7,1),JOURNAL!$A$5:$A$504,"&lt;="&amp;EOMONTH(SETUP!$B$8,7))-SUMIFS(JOURNAL!$J$5:$J$504,JOURNAL!$C$5:$C$504,$A9,JOURNAL!$A$5:$A$504,"&gt;="&amp;DATE(YEAR(SETUP!$B$8),MONTH(SETUP!$B$8)+7,1),JOURNAL!$A$5:$A$504,"&lt;="&amp;EOMONTH(SETUP!$B$8,7))</f>
        <v/>
      </c>
      <c r="K9" s="15">
        <f>SUMIFS(JOURNAL!$I$5:$I$504,JOURNAL!$C$5:$C$504,$A9,JOURNAL!$A$5:$A$504,"&gt;="&amp;DATE(YEAR(SETUP!$B$8),MONTH(SETUP!$B$8)+8,1),JOURNAL!$A$5:$A$504,"&lt;="&amp;EOMONTH(SETUP!$B$8,8))-SUMIFS(JOURNAL!$J$5:$J$504,JOURNAL!$C$5:$C$504,$A9,JOURNAL!$A$5:$A$504,"&gt;="&amp;DATE(YEAR(SETUP!$B$8),MONTH(SETUP!$B$8)+8,1),JOURNAL!$A$5:$A$504,"&lt;="&amp;EOMONTH(SETUP!$B$8,8))</f>
        <v/>
      </c>
      <c r="L9" s="15">
        <f>SUMIFS(JOURNAL!$I$5:$I$504,JOURNAL!$C$5:$C$504,$A9,JOURNAL!$A$5:$A$504,"&gt;="&amp;DATE(YEAR(SETUP!$B$8),MONTH(SETUP!$B$8)+9,1),JOURNAL!$A$5:$A$504,"&lt;="&amp;EOMONTH(SETUP!$B$8,9))-SUMIFS(JOURNAL!$J$5:$J$504,JOURNAL!$C$5:$C$504,$A9,JOURNAL!$A$5:$A$504,"&gt;="&amp;DATE(YEAR(SETUP!$B$8),MONTH(SETUP!$B$8)+9,1),JOURNAL!$A$5:$A$504,"&lt;="&amp;EOMONTH(SETUP!$B$8,9))</f>
        <v/>
      </c>
      <c r="M9" s="15">
        <f>SUMIFS(JOURNAL!$I$5:$I$504,JOURNAL!$C$5:$C$504,$A9,JOURNAL!$A$5:$A$504,"&gt;="&amp;DATE(YEAR(SETUP!$B$8),MONTH(SETUP!$B$8)+10,1),JOURNAL!$A$5:$A$504,"&lt;="&amp;EOMONTH(SETUP!$B$8,10))-SUMIFS(JOURNAL!$J$5:$J$504,JOURNAL!$C$5:$C$504,$A9,JOURNAL!$A$5:$A$504,"&gt;="&amp;DATE(YEAR(SETUP!$B$8),MONTH(SETUP!$B$8)+10,1),JOURNAL!$A$5:$A$504,"&lt;="&amp;EOMONTH(SETUP!$B$8,10))</f>
        <v/>
      </c>
      <c r="N9" s="15">
        <f>SUMIFS(JOURNAL!$I$5:$I$504,JOURNAL!$C$5:$C$504,$A9,JOURNAL!$A$5:$A$504,"&gt;="&amp;DATE(YEAR(SETUP!$B$8),MONTH(SETUP!$B$8)+11,1),JOURNAL!$A$5:$A$504,"&lt;="&amp;EOMONTH(SETUP!$B$8,11))-SUMIFS(JOURNAL!$J$5:$J$504,JOURNAL!$C$5:$C$504,$A9,JOURNAL!$A$5:$A$504,"&gt;="&amp;DATE(YEAR(SETUP!$B$8),MONTH(SETUP!$B$8)+11,1),JOURNAL!$A$5:$A$504,"&lt;="&amp;EOMONTH(SETUP!$B$8,11))</f>
        <v/>
      </c>
      <c r="O9" s="16">
        <f>SUM(C9:N9)</f>
        <v/>
      </c>
    </row>
    <row r="10">
      <c r="A10" t="inlineStr">
        <is>
          <t>1210</t>
        </is>
      </c>
      <c r="B10" t="inlineStr">
        <is>
          <t>Inventory — caps and labels</t>
        </is>
      </c>
      <c r="C10" s="15">
        <f>SUMIFS(JOURNAL!$I$5:$I$504,JOURNAL!$C$5:$C$504,$A10,JOURNAL!$A$5:$A$504,"&gt;="&amp;DATE(YEAR(SETUP!$B$8),MONTH(SETUP!$B$8)+0,1),JOURNAL!$A$5:$A$504,"&lt;="&amp;EOMONTH(SETUP!$B$8,0))-SUMIFS(JOURNAL!$J$5:$J$504,JOURNAL!$C$5:$C$504,$A10,JOURNAL!$A$5:$A$504,"&gt;="&amp;DATE(YEAR(SETUP!$B$8),MONTH(SETUP!$B$8)+0,1),JOURNAL!$A$5:$A$504,"&lt;="&amp;EOMONTH(SETUP!$B$8,0))</f>
        <v/>
      </c>
      <c r="D10" s="15">
        <f>SUMIFS(JOURNAL!$I$5:$I$504,JOURNAL!$C$5:$C$504,$A10,JOURNAL!$A$5:$A$504,"&gt;="&amp;DATE(YEAR(SETUP!$B$8),MONTH(SETUP!$B$8)+1,1),JOURNAL!$A$5:$A$504,"&lt;="&amp;EOMONTH(SETUP!$B$8,1))-SUMIFS(JOURNAL!$J$5:$J$504,JOURNAL!$C$5:$C$504,$A10,JOURNAL!$A$5:$A$504,"&gt;="&amp;DATE(YEAR(SETUP!$B$8),MONTH(SETUP!$B$8)+1,1),JOURNAL!$A$5:$A$504,"&lt;="&amp;EOMONTH(SETUP!$B$8,1))</f>
        <v/>
      </c>
      <c r="E10" s="15">
        <f>SUMIFS(JOURNAL!$I$5:$I$504,JOURNAL!$C$5:$C$504,$A10,JOURNAL!$A$5:$A$504,"&gt;="&amp;DATE(YEAR(SETUP!$B$8),MONTH(SETUP!$B$8)+2,1),JOURNAL!$A$5:$A$504,"&lt;="&amp;EOMONTH(SETUP!$B$8,2))-SUMIFS(JOURNAL!$J$5:$J$504,JOURNAL!$C$5:$C$504,$A10,JOURNAL!$A$5:$A$504,"&gt;="&amp;DATE(YEAR(SETUP!$B$8),MONTH(SETUP!$B$8)+2,1),JOURNAL!$A$5:$A$504,"&lt;="&amp;EOMONTH(SETUP!$B$8,2))</f>
        <v/>
      </c>
      <c r="F10" s="15">
        <f>SUMIFS(JOURNAL!$I$5:$I$504,JOURNAL!$C$5:$C$504,$A10,JOURNAL!$A$5:$A$504,"&gt;="&amp;DATE(YEAR(SETUP!$B$8),MONTH(SETUP!$B$8)+3,1),JOURNAL!$A$5:$A$504,"&lt;="&amp;EOMONTH(SETUP!$B$8,3))-SUMIFS(JOURNAL!$J$5:$J$504,JOURNAL!$C$5:$C$504,$A10,JOURNAL!$A$5:$A$504,"&gt;="&amp;DATE(YEAR(SETUP!$B$8),MONTH(SETUP!$B$8)+3,1),JOURNAL!$A$5:$A$504,"&lt;="&amp;EOMONTH(SETUP!$B$8,3))</f>
        <v/>
      </c>
      <c r="G10" s="15">
        <f>SUMIFS(JOURNAL!$I$5:$I$504,JOURNAL!$C$5:$C$504,$A10,JOURNAL!$A$5:$A$504,"&gt;="&amp;DATE(YEAR(SETUP!$B$8),MONTH(SETUP!$B$8)+4,1),JOURNAL!$A$5:$A$504,"&lt;="&amp;EOMONTH(SETUP!$B$8,4))-SUMIFS(JOURNAL!$J$5:$J$504,JOURNAL!$C$5:$C$504,$A10,JOURNAL!$A$5:$A$504,"&gt;="&amp;DATE(YEAR(SETUP!$B$8),MONTH(SETUP!$B$8)+4,1),JOURNAL!$A$5:$A$504,"&lt;="&amp;EOMONTH(SETUP!$B$8,4))</f>
        <v/>
      </c>
      <c r="H10" s="15">
        <f>SUMIFS(JOURNAL!$I$5:$I$504,JOURNAL!$C$5:$C$504,$A10,JOURNAL!$A$5:$A$504,"&gt;="&amp;DATE(YEAR(SETUP!$B$8),MONTH(SETUP!$B$8)+5,1),JOURNAL!$A$5:$A$504,"&lt;="&amp;EOMONTH(SETUP!$B$8,5))-SUMIFS(JOURNAL!$J$5:$J$504,JOURNAL!$C$5:$C$504,$A10,JOURNAL!$A$5:$A$504,"&gt;="&amp;DATE(YEAR(SETUP!$B$8),MONTH(SETUP!$B$8)+5,1),JOURNAL!$A$5:$A$504,"&lt;="&amp;EOMONTH(SETUP!$B$8,5))</f>
        <v/>
      </c>
      <c r="I10" s="15">
        <f>SUMIFS(JOURNAL!$I$5:$I$504,JOURNAL!$C$5:$C$504,$A10,JOURNAL!$A$5:$A$504,"&gt;="&amp;DATE(YEAR(SETUP!$B$8),MONTH(SETUP!$B$8)+6,1),JOURNAL!$A$5:$A$504,"&lt;="&amp;EOMONTH(SETUP!$B$8,6))-SUMIFS(JOURNAL!$J$5:$J$504,JOURNAL!$C$5:$C$504,$A10,JOURNAL!$A$5:$A$504,"&gt;="&amp;DATE(YEAR(SETUP!$B$8),MONTH(SETUP!$B$8)+6,1),JOURNAL!$A$5:$A$504,"&lt;="&amp;EOMONTH(SETUP!$B$8,6))</f>
        <v/>
      </c>
      <c r="J10" s="15">
        <f>SUMIFS(JOURNAL!$I$5:$I$504,JOURNAL!$C$5:$C$504,$A10,JOURNAL!$A$5:$A$504,"&gt;="&amp;DATE(YEAR(SETUP!$B$8),MONTH(SETUP!$B$8)+7,1),JOURNAL!$A$5:$A$504,"&lt;="&amp;EOMONTH(SETUP!$B$8,7))-SUMIFS(JOURNAL!$J$5:$J$504,JOURNAL!$C$5:$C$504,$A10,JOURNAL!$A$5:$A$504,"&gt;="&amp;DATE(YEAR(SETUP!$B$8),MONTH(SETUP!$B$8)+7,1),JOURNAL!$A$5:$A$504,"&lt;="&amp;EOMONTH(SETUP!$B$8,7))</f>
        <v/>
      </c>
      <c r="K10" s="15">
        <f>SUMIFS(JOURNAL!$I$5:$I$504,JOURNAL!$C$5:$C$504,$A10,JOURNAL!$A$5:$A$504,"&gt;="&amp;DATE(YEAR(SETUP!$B$8),MONTH(SETUP!$B$8)+8,1),JOURNAL!$A$5:$A$504,"&lt;="&amp;EOMONTH(SETUP!$B$8,8))-SUMIFS(JOURNAL!$J$5:$J$504,JOURNAL!$C$5:$C$504,$A10,JOURNAL!$A$5:$A$504,"&gt;="&amp;DATE(YEAR(SETUP!$B$8),MONTH(SETUP!$B$8)+8,1),JOURNAL!$A$5:$A$504,"&lt;="&amp;EOMONTH(SETUP!$B$8,8))</f>
        <v/>
      </c>
      <c r="L10" s="15">
        <f>SUMIFS(JOURNAL!$I$5:$I$504,JOURNAL!$C$5:$C$504,$A10,JOURNAL!$A$5:$A$504,"&gt;="&amp;DATE(YEAR(SETUP!$B$8),MONTH(SETUP!$B$8)+9,1),JOURNAL!$A$5:$A$504,"&lt;="&amp;EOMONTH(SETUP!$B$8,9))-SUMIFS(JOURNAL!$J$5:$J$504,JOURNAL!$C$5:$C$504,$A10,JOURNAL!$A$5:$A$504,"&gt;="&amp;DATE(YEAR(SETUP!$B$8),MONTH(SETUP!$B$8)+9,1),JOURNAL!$A$5:$A$504,"&lt;="&amp;EOMONTH(SETUP!$B$8,9))</f>
        <v/>
      </c>
      <c r="M10" s="15">
        <f>SUMIFS(JOURNAL!$I$5:$I$504,JOURNAL!$C$5:$C$504,$A10,JOURNAL!$A$5:$A$504,"&gt;="&amp;DATE(YEAR(SETUP!$B$8),MONTH(SETUP!$B$8)+10,1),JOURNAL!$A$5:$A$504,"&lt;="&amp;EOMONTH(SETUP!$B$8,10))-SUMIFS(JOURNAL!$J$5:$J$504,JOURNAL!$C$5:$C$504,$A10,JOURNAL!$A$5:$A$504,"&gt;="&amp;DATE(YEAR(SETUP!$B$8),MONTH(SETUP!$B$8)+10,1),JOURNAL!$A$5:$A$504,"&lt;="&amp;EOMONTH(SETUP!$B$8,10))</f>
        <v/>
      </c>
      <c r="N10" s="15">
        <f>SUMIFS(JOURNAL!$I$5:$I$504,JOURNAL!$C$5:$C$504,$A10,JOURNAL!$A$5:$A$504,"&gt;="&amp;DATE(YEAR(SETUP!$B$8),MONTH(SETUP!$B$8)+11,1),JOURNAL!$A$5:$A$504,"&lt;="&amp;EOMONTH(SETUP!$B$8,11))-SUMIFS(JOURNAL!$J$5:$J$504,JOURNAL!$C$5:$C$504,$A10,JOURNAL!$A$5:$A$504,"&gt;="&amp;DATE(YEAR(SETUP!$B$8),MONTH(SETUP!$B$8)+11,1),JOURNAL!$A$5:$A$504,"&lt;="&amp;EOMONTH(SETUP!$B$8,11))</f>
        <v/>
      </c>
      <c r="O10" s="16">
        <f>SUM(C10:N10)</f>
        <v/>
      </c>
    </row>
    <row r="11">
      <c r="A11" t="inlineStr">
        <is>
          <t>1220</t>
        </is>
      </c>
      <c r="B11" t="inlineStr">
        <is>
          <t>Inventory — jars held for issue</t>
        </is>
      </c>
      <c r="C11" s="15">
        <f>SUMIFS(JOURNAL!$I$5:$I$504,JOURNAL!$C$5:$C$504,$A11,JOURNAL!$A$5:$A$504,"&gt;="&amp;DATE(YEAR(SETUP!$B$8),MONTH(SETUP!$B$8)+0,1),JOURNAL!$A$5:$A$504,"&lt;="&amp;EOMONTH(SETUP!$B$8,0))-SUMIFS(JOURNAL!$J$5:$J$504,JOURNAL!$C$5:$C$504,$A11,JOURNAL!$A$5:$A$504,"&gt;="&amp;DATE(YEAR(SETUP!$B$8),MONTH(SETUP!$B$8)+0,1),JOURNAL!$A$5:$A$504,"&lt;="&amp;EOMONTH(SETUP!$B$8,0))</f>
        <v/>
      </c>
      <c r="D11" s="15">
        <f>SUMIFS(JOURNAL!$I$5:$I$504,JOURNAL!$C$5:$C$504,$A11,JOURNAL!$A$5:$A$504,"&gt;="&amp;DATE(YEAR(SETUP!$B$8),MONTH(SETUP!$B$8)+1,1),JOURNAL!$A$5:$A$504,"&lt;="&amp;EOMONTH(SETUP!$B$8,1))-SUMIFS(JOURNAL!$J$5:$J$504,JOURNAL!$C$5:$C$504,$A11,JOURNAL!$A$5:$A$504,"&gt;="&amp;DATE(YEAR(SETUP!$B$8),MONTH(SETUP!$B$8)+1,1),JOURNAL!$A$5:$A$504,"&lt;="&amp;EOMONTH(SETUP!$B$8,1))</f>
        <v/>
      </c>
      <c r="E11" s="15">
        <f>SUMIFS(JOURNAL!$I$5:$I$504,JOURNAL!$C$5:$C$504,$A11,JOURNAL!$A$5:$A$504,"&gt;="&amp;DATE(YEAR(SETUP!$B$8),MONTH(SETUP!$B$8)+2,1),JOURNAL!$A$5:$A$504,"&lt;="&amp;EOMONTH(SETUP!$B$8,2))-SUMIFS(JOURNAL!$J$5:$J$504,JOURNAL!$C$5:$C$504,$A11,JOURNAL!$A$5:$A$504,"&gt;="&amp;DATE(YEAR(SETUP!$B$8),MONTH(SETUP!$B$8)+2,1),JOURNAL!$A$5:$A$504,"&lt;="&amp;EOMONTH(SETUP!$B$8,2))</f>
        <v/>
      </c>
      <c r="F11" s="15">
        <f>SUMIFS(JOURNAL!$I$5:$I$504,JOURNAL!$C$5:$C$504,$A11,JOURNAL!$A$5:$A$504,"&gt;="&amp;DATE(YEAR(SETUP!$B$8),MONTH(SETUP!$B$8)+3,1),JOURNAL!$A$5:$A$504,"&lt;="&amp;EOMONTH(SETUP!$B$8,3))-SUMIFS(JOURNAL!$J$5:$J$504,JOURNAL!$C$5:$C$504,$A11,JOURNAL!$A$5:$A$504,"&gt;="&amp;DATE(YEAR(SETUP!$B$8),MONTH(SETUP!$B$8)+3,1),JOURNAL!$A$5:$A$504,"&lt;="&amp;EOMONTH(SETUP!$B$8,3))</f>
        <v/>
      </c>
      <c r="G11" s="15">
        <f>SUMIFS(JOURNAL!$I$5:$I$504,JOURNAL!$C$5:$C$504,$A11,JOURNAL!$A$5:$A$504,"&gt;="&amp;DATE(YEAR(SETUP!$B$8),MONTH(SETUP!$B$8)+4,1),JOURNAL!$A$5:$A$504,"&lt;="&amp;EOMONTH(SETUP!$B$8,4))-SUMIFS(JOURNAL!$J$5:$J$504,JOURNAL!$C$5:$C$504,$A11,JOURNAL!$A$5:$A$504,"&gt;="&amp;DATE(YEAR(SETUP!$B$8),MONTH(SETUP!$B$8)+4,1),JOURNAL!$A$5:$A$504,"&lt;="&amp;EOMONTH(SETUP!$B$8,4))</f>
        <v/>
      </c>
      <c r="H11" s="15">
        <f>SUMIFS(JOURNAL!$I$5:$I$504,JOURNAL!$C$5:$C$504,$A11,JOURNAL!$A$5:$A$504,"&gt;="&amp;DATE(YEAR(SETUP!$B$8),MONTH(SETUP!$B$8)+5,1),JOURNAL!$A$5:$A$504,"&lt;="&amp;EOMONTH(SETUP!$B$8,5))-SUMIFS(JOURNAL!$J$5:$J$504,JOURNAL!$C$5:$C$504,$A11,JOURNAL!$A$5:$A$504,"&gt;="&amp;DATE(YEAR(SETUP!$B$8),MONTH(SETUP!$B$8)+5,1),JOURNAL!$A$5:$A$504,"&lt;="&amp;EOMONTH(SETUP!$B$8,5))</f>
        <v/>
      </c>
      <c r="I11" s="15">
        <f>SUMIFS(JOURNAL!$I$5:$I$504,JOURNAL!$C$5:$C$504,$A11,JOURNAL!$A$5:$A$504,"&gt;="&amp;DATE(YEAR(SETUP!$B$8),MONTH(SETUP!$B$8)+6,1),JOURNAL!$A$5:$A$504,"&lt;="&amp;EOMONTH(SETUP!$B$8,6))-SUMIFS(JOURNAL!$J$5:$J$504,JOURNAL!$C$5:$C$504,$A11,JOURNAL!$A$5:$A$504,"&gt;="&amp;DATE(YEAR(SETUP!$B$8),MONTH(SETUP!$B$8)+6,1),JOURNAL!$A$5:$A$504,"&lt;="&amp;EOMONTH(SETUP!$B$8,6))</f>
        <v/>
      </c>
      <c r="J11" s="15">
        <f>SUMIFS(JOURNAL!$I$5:$I$504,JOURNAL!$C$5:$C$504,$A11,JOURNAL!$A$5:$A$504,"&gt;="&amp;DATE(YEAR(SETUP!$B$8),MONTH(SETUP!$B$8)+7,1),JOURNAL!$A$5:$A$504,"&lt;="&amp;EOMONTH(SETUP!$B$8,7))-SUMIFS(JOURNAL!$J$5:$J$504,JOURNAL!$C$5:$C$504,$A11,JOURNAL!$A$5:$A$504,"&gt;="&amp;DATE(YEAR(SETUP!$B$8),MONTH(SETUP!$B$8)+7,1),JOURNAL!$A$5:$A$504,"&lt;="&amp;EOMONTH(SETUP!$B$8,7))</f>
        <v/>
      </c>
      <c r="K11" s="15">
        <f>SUMIFS(JOURNAL!$I$5:$I$504,JOURNAL!$C$5:$C$504,$A11,JOURNAL!$A$5:$A$504,"&gt;="&amp;DATE(YEAR(SETUP!$B$8),MONTH(SETUP!$B$8)+8,1),JOURNAL!$A$5:$A$504,"&lt;="&amp;EOMONTH(SETUP!$B$8,8))-SUMIFS(JOURNAL!$J$5:$J$504,JOURNAL!$C$5:$C$504,$A11,JOURNAL!$A$5:$A$504,"&gt;="&amp;DATE(YEAR(SETUP!$B$8),MONTH(SETUP!$B$8)+8,1),JOURNAL!$A$5:$A$504,"&lt;="&amp;EOMONTH(SETUP!$B$8,8))</f>
        <v/>
      </c>
      <c r="L11" s="15">
        <f>SUMIFS(JOURNAL!$I$5:$I$504,JOURNAL!$C$5:$C$504,$A11,JOURNAL!$A$5:$A$504,"&gt;="&amp;DATE(YEAR(SETUP!$B$8),MONTH(SETUP!$B$8)+9,1),JOURNAL!$A$5:$A$504,"&lt;="&amp;EOMONTH(SETUP!$B$8,9))-SUMIFS(JOURNAL!$J$5:$J$504,JOURNAL!$C$5:$C$504,$A11,JOURNAL!$A$5:$A$504,"&gt;="&amp;DATE(YEAR(SETUP!$B$8),MONTH(SETUP!$B$8)+9,1),JOURNAL!$A$5:$A$504,"&lt;="&amp;EOMONTH(SETUP!$B$8,9))</f>
        <v/>
      </c>
      <c r="M11" s="15">
        <f>SUMIFS(JOURNAL!$I$5:$I$504,JOURNAL!$C$5:$C$504,$A11,JOURNAL!$A$5:$A$504,"&gt;="&amp;DATE(YEAR(SETUP!$B$8),MONTH(SETUP!$B$8)+10,1),JOURNAL!$A$5:$A$504,"&lt;="&amp;EOMONTH(SETUP!$B$8,10))-SUMIFS(JOURNAL!$J$5:$J$504,JOURNAL!$C$5:$C$504,$A11,JOURNAL!$A$5:$A$504,"&gt;="&amp;DATE(YEAR(SETUP!$B$8),MONTH(SETUP!$B$8)+10,1),JOURNAL!$A$5:$A$504,"&lt;="&amp;EOMONTH(SETUP!$B$8,10))</f>
        <v/>
      </c>
      <c r="N11" s="15">
        <f>SUMIFS(JOURNAL!$I$5:$I$504,JOURNAL!$C$5:$C$504,$A11,JOURNAL!$A$5:$A$504,"&gt;="&amp;DATE(YEAR(SETUP!$B$8),MONTH(SETUP!$B$8)+11,1),JOURNAL!$A$5:$A$504,"&lt;="&amp;EOMONTH(SETUP!$B$8,11))-SUMIFS(JOURNAL!$J$5:$J$504,JOURNAL!$C$5:$C$504,$A11,JOURNAL!$A$5:$A$504,"&gt;="&amp;DATE(YEAR(SETUP!$B$8),MONTH(SETUP!$B$8)+11,1),JOURNAL!$A$5:$A$504,"&lt;="&amp;EOMONTH(SETUP!$B$8,11))</f>
        <v/>
      </c>
      <c r="O11" s="16">
        <f>SUM(C11:N11)</f>
        <v/>
      </c>
    </row>
    <row r="12">
      <c r="A12" t="inlineStr">
        <is>
          <t>1230</t>
        </is>
      </c>
      <c r="B12" t="inlineStr">
        <is>
          <t>Inventory — treatment consumables</t>
        </is>
      </c>
      <c r="C12" s="15">
        <f>SUMIFS(JOURNAL!$I$5:$I$504,JOURNAL!$C$5:$C$504,$A12,JOURNAL!$A$5:$A$504,"&gt;="&amp;DATE(YEAR(SETUP!$B$8),MONTH(SETUP!$B$8)+0,1),JOURNAL!$A$5:$A$504,"&lt;="&amp;EOMONTH(SETUP!$B$8,0))-SUMIFS(JOURNAL!$J$5:$J$504,JOURNAL!$C$5:$C$504,$A12,JOURNAL!$A$5:$A$504,"&gt;="&amp;DATE(YEAR(SETUP!$B$8),MONTH(SETUP!$B$8)+0,1),JOURNAL!$A$5:$A$504,"&lt;="&amp;EOMONTH(SETUP!$B$8,0))</f>
        <v/>
      </c>
      <c r="D12" s="15">
        <f>SUMIFS(JOURNAL!$I$5:$I$504,JOURNAL!$C$5:$C$504,$A12,JOURNAL!$A$5:$A$504,"&gt;="&amp;DATE(YEAR(SETUP!$B$8),MONTH(SETUP!$B$8)+1,1),JOURNAL!$A$5:$A$504,"&lt;="&amp;EOMONTH(SETUP!$B$8,1))-SUMIFS(JOURNAL!$J$5:$J$504,JOURNAL!$C$5:$C$504,$A12,JOURNAL!$A$5:$A$504,"&gt;="&amp;DATE(YEAR(SETUP!$B$8),MONTH(SETUP!$B$8)+1,1),JOURNAL!$A$5:$A$504,"&lt;="&amp;EOMONTH(SETUP!$B$8,1))</f>
        <v/>
      </c>
      <c r="E12" s="15">
        <f>SUMIFS(JOURNAL!$I$5:$I$504,JOURNAL!$C$5:$C$504,$A12,JOURNAL!$A$5:$A$504,"&gt;="&amp;DATE(YEAR(SETUP!$B$8),MONTH(SETUP!$B$8)+2,1),JOURNAL!$A$5:$A$504,"&lt;="&amp;EOMONTH(SETUP!$B$8,2))-SUMIFS(JOURNAL!$J$5:$J$504,JOURNAL!$C$5:$C$504,$A12,JOURNAL!$A$5:$A$504,"&gt;="&amp;DATE(YEAR(SETUP!$B$8),MONTH(SETUP!$B$8)+2,1),JOURNAL!$A$5:$A$504,"&lt;="&amp;EOMONTH(SETUP!$B$8,2))</f>
        <v/>
      </c>
      <c r="F12" s="15">
        <f>SUMIFS(JOURNAL!$I$5:$I$504,JOURNAL!$C$5:$C$504,$A12,JOURNAL!$A$5:$A$504,"&gt;="&amp;DATE(YEAR(SETUP!$B$8),MONTH(SETUP!$B$8)+3,1),JOURNAL!$A$5:$A$504,"&lt;="&amp;EOMONTH(SETUP!$B$8,3))-SUMIFS(JOURNAL!$J$5:$J$504,JOURNAL!$C$5:$C$504,$A12,JOURNAL!$A$5:$A$504,"&gt;="&amp;DATE(YEAR(SETUP!$B$8),MONTH(SETUP!$B$8)+3,1),JOURNAL!$A$5:$A$504,"&lt;="&amp;EOMONTH(SETUP!$B$8,3))</f>
        <v/>
      </c>
      <c r="G12" s="15">
        <f>SUMIFS(JOURNAL!$I$5:$I$504,JOURNAL!$C$5:$C$504,$A12,JOURNAL!$A$5:$A$504,"&gt;="&amp;DATE(YEAR(SETUP!$B$8),MONTH(SETUP!$B$8)+4,1),JOURNAL!$A$5:$A$504,"&lt;="&amp;EOMONTH(SETUP!$B$8,4))-SUMIFS(JOURNAL!$J$5:$J$504,JOURNAL!$C$5:$C$504,$A12,JOURNAL!$A$5:$A$504,"&gt;="&amp;DATE(YEAR(SETUP!$B$8),MONTH(SETUP!$B$8)+4,1),JOURNAL!$A$5:$A$504,"&lt;="&amp;EOMONTH(SETUP!$B$8,4))</f>
        <v/>
      </c>
      <c r="H12" s="15">
        <f>SUMIFS(JOURNAL!$I$5:$I$504,JOURNAL!$C$5:$C$504,$A12,JOURNAL!$A$5:$A$504,"&gt;="&amp;DATE(YEAR(SETUP!$B$8),MONTH(SETUP!$B$8)+5,1),JOURNAL!$A$5:$A$504,"&lt;="&amp;EOMONTH(SETUP!$B$8,5))-SUMIFS(JOURNAL!$J$5:$J$504,JOURNAL!$C$5:$C$504,$A12,JOURNAL!$A$5:$A$504,"&gt;="&amp;DATE(YEAR(SETUP!$B$8),MONTH(SETUP!$B$8)+5,1),JOURNAL!$A$5:$A$504,"&lt;="&amp;EOMONTH(SETUP!$B$8,5))</f>
        <v/>
      </c>
      <c r="I12" s="15">
        <f>SUMIFS(JOURNAL!$I$5:$I$504,JOURNAL!$C$5:$C$504,$A12,JOURNAL!$A$5:$A$504,"&gt;="&amp;DATE(YEAR(SETUP!$B$8),MONTH(SETUP!$B$8)+6,1),JOURNAL!$A$5:$A$504,"&lt;="&amp;EOMONTH(SETUP!$B$8,6))-SUMIFS(JOURNAL!$J$5:$J$504,JOURNAL!$C$5:$C$504,$A12,JOURNAL!$A$5:$A$504,"&gt;="&amp;DATE(YEAR(SETUP!$B$8),MONTH(SETUP!$B$8)+6,1),JOURNAL!$A$5:$A$504,"&lt;="&amp;EOMONTH(SETUP!$B$8,6))</f>
        <v/>
      </c>
      <c r="J12" s="15">
        <f>SUMIFS(JOURNAL!$I$5:$I$504,JOURNAL!$C$5:$C$504,$A12,JOURNAL!$A$5:$A$504,"&gt;="&amp;DATE(YEAR(SETUP!$B$8),MONTH(SETUP!$B$8)+7,1),JOURNAL!$A$5:$A$504,"&lt;="&amp;EOMONTH(SETUP!$B$8,7))-SUMIFS(JOURNAL!$J$5:$J$504,JOURNAL!$C$5:$C$504,$A12,JOURNAL!$A$5:$A$504,"&gt;="&amp;DATE(YEAR(SETUP!$B$8),MONTH(SETUP!$B$8)+7,1),JOURNAL!$A$5:$A$504,"&lt;="&amp;EOMONTH(SETUP!$B$8,7))</f>
        <v/>
      </c>
      <c r="K12" s="15">
        <f>SUMIFS(JOURNAL!$I$5:$I$504,JOURNAL!$C$5:$C$504,$A12,JOURNAL!$A$5:$A$504,"&gt;="&amp;DATE(YEAR(SETUP!$B$8),MONTH(SETUP!$B$8)+8,1),JOURNAL!$A$5:$A$504,"&lt;="&amp;EOMONTH(SETUP!$B$8,8))-SUMIFS(JOURNAL!$J$5:$J$504,JOURNAL!$C$5:$C$504,$A12,JOURNAL!$A$5:$A$504,"&gt;="&amp;DATE(YEAR(SETUP!$B$8),MONTH(SETUP!$B$8)+8,1),JOURNAL!$A$5:$A$504,"&lt;="&amp;EOMONTH(SETUP!$B$8,8))</f>
        <v/>
      </c>
      <c r="L12" s="15">
        <f>SUMIFS(JOURNAL!$I$5:$I$504,JOURNAL!$C$5:$C$504,$A12,JOURNAL!$A$5:$A$504,"&gt;="&amp;DATE(YEAR(SETUP!$B$8),MONTH(SETUP!$B$8)+9,1),JOURNAL!$A$5:$A$504,"&lt;="&amp;EOMONTH(SETUP!$B$8,9))-SUMIFS(JOURNAL!$J$5:$J$504,JOURNAL!$C$5:$C$504,$A12,JOURNAL!$A$5:$A$504,"&gt;="&amp;DATE(YEAR(SETUP!$B$8),MONTH(SETUP!$B$8)+9,1),JOURNAL!$A$5:$A$504,"&lt;="&amp;EOMONTH(SETUP!$B$8,9))</f>
        <v/>
      </c>
      <c r="M12" s="15">
        <f>SUMIFS(JOURNAL!$I$5:$I$504,JOURNAL!$C$5:$C$504,$A12,JOURNAL!$A$5:$A$504,"&gt;="&amp;DATE(YEAR(SETUP!$B$8),MONTH(SETUP!$B$8)+10,1),JOURNAL!$A$5:$A$504,"&lt;="&amp;EOMONTH(SETUP!$B$8,10))-SUMIFS(JOURNAL!$J$5:$J$504,JOURNAL!$C$5:$C$504,$A12,JOURNAL!$A$5:$A$504,"&gt;="&amp;DATE(YEAR(SETUP!$B$8),MONTH(SETUP!$B$8)+10,1),JOURNAL!$A$5:$A$504,"&lt;="&amp;EOMONTH(SETUP!$B$8,10))</f>
        <v/>
      </c>
      <c r="N12" s="15">
        <f>SUMIFS(JOURNAL!$I$5:$I$504,JOURNAL!$C$5:$C$504,$A12,JOURNAL!$A$5:$A$504,"&gt;="&amp;DATE(YEAR(SETUP!$B$8),MONTH(SETUP!$B$8)+11,1),JOURNAL!$A$5:$A$504,"&lt;="&amp;EOMONTH(SETUP!$B$8,11))-SUMIFS(JOURNAL!$J$5:$J$504,JOURNAL!$C$5:$C$504,$A12,JOURNAL!$A$5:$A$504,"&gt;="&amp;DATE(YEAR(SETUP!$B$8),MONTH(SETUP!$B$8)+11,1),JOURNAL!$A$5:$A$504,"&lt;="&amp;EOMONTH(SETUP!$B$8,11))</f>
        <v/>
      </c>
      <c r="O12" s="16">
        <f>SUM(C12:N12)</f>
        <v/>
      </c>
    </row>
    <row r="13">
      <c r="A13" t="inlineStr">
        <is>
          <t>1300</t>
        </is>
      </c>
      <c r="B13" t="inlineStr">
        <is>
          <t>Input VAT recoverable</t>
        </is>
      </c>
      <c r="C13" s="15">
        <f>SUMIFS(JOURNAL!$I$5:$I$504,JOURNAL!$C$5:$C$504,$A13,JOURNAL!$A$5:$A$504,"&gt;="&amp;DATE(YEAR(SETUP!$B$8),MONTH(SETUP!$B$8)+0,1),JOURNAL!$A$5:$A$504,"&lt;="&amp;EOMONTH(SETUP!$B$8,0))-SUMIFS(JOURNAL!$J$5:$J$504,JOURNAL!$C$5:$C$504,$A13,JOURNAL!$A$5:$A$504,"&gt;="&amp;DATE(YEAR(SETUP!$B$8),MONTH(SETUP!$B$8)+0,1),JOURNAL!$A$5:$A$504,"&lt;="&amp;EOMONTH(SETUP!$B$8,0))</f>
        <v/>
      </c>
      <c r="D13" s="15">
        <f>SUMIFS(JOURNAL!$I$5:$I$504,JOURNAL!$C$5:$C$504,$A13,JOURNAL!$A$5:$A$504,"&gt;="&amp;DATE(YEAR(SETUP!$B$8),MONTH(SETUP!$B$8)+1,1),JOURNAL!$A$5:$A$504,"&lt;="&amp;EOMONTH(SETUP!$B$8,1))-SUMIFS(JOURNAL!$J$5:$J$504,JOURNAL!$C$5:$C$504,$A13,JOURNAL!$A$5:$A$504,"&gt;="&amp;DATE(YEAR(SETUP!$B$8),MONTH(SETUP!$B$8)+1,1),JOURNAL!$A$5:$A$504,"&lt;="&amp;EOMONTH(SETUP!$B$8,1))</f>
        <v/>
      </c>
      <c r="E13" s="15">
        <f>SUMIFS(JOURNAL!$I$5:$I$504,JOURNAL!$C$5:$C$504,$A13,JOURNAL!$A$5:$A$504,"&gt;="&amp;DATE(YEAR(SETUP!$B$8),MONTH(SETUP!$B$8)+2,1),JOURNAL!$A$5:$A$504,"&lt;="&amp;EOMONTH(SETUP!$B$8,2))-SUMIFS(JOURNAL!$J$5:$J$504,JOURNAL!$C$5:$C$504,$A13,JOURNAL!$A$5:$A$504,"&gt;="&amp;DATE(YEAR(SETUP!$B$8),MONTH(SETUP!$B$8)+2,1),JOURNAL!$A$5:$A$504,"&lt;="&amp;EOMONTH(SETUP!$B$8,2))</f>
        <v/>
      </c>
      <c r="F13" s="15">
        <f>SUMIFS(JOURNAL!$I$5:$I$504,JOURNAL!$C$5:$C$504,$A13,JOURNAL!$A$5:$A$504,"&gt;="&amp;DATE(YEAR(SETUP!$B$8),MONTH(SETUP!$B$8)+3,1),JOURNAL!$A$5:$A$504,"&lt;="&amp;EOMONTH(SETUP!$B$8,3))-SUMIFS(JOURNAL!$J$5:$J$504,JOURNAL!$C$5:$C$504,$A13,JOURNAL!$A$5:$A$504,"&gt;="&amp;DATE(YEAR(SETUP!$B$8),MONTH(SETUP!$B$8)+3,1),JOURNAL!$A$5:$A$504,"&lt;="&amp;EOMONTH(SETUP!$B$8,3))</f>
        <v/>
      </c>
      <c r="G13" s="15">
        <f>SUMIFS(JOURNAL!$I$5:$I$504,JOURNAL!$C$5:$C$504,$A13,JOURNAL!$A$5:$A$504,"&gt;="&amp;DATE(YEAR(SETUP!$B$8),MONTH(SETUP!$B$8)+4,1),JOURNAL!$A$5:$A$504,"&lt;="&amp;EOMONTH(SETUP!$B$8,4))-SUMIFS(JOURNAL!$J$5:$J$504,JOURNAL!$C$5:$C$504,$A13,JOURNAL!$A$5:$A$504,"&gt;="&amp;DATE(YEAR(SETUP!$B$8),MONTH(SETUP!$B$8)+4,1),JOURNAL!$A$5:$A$504,"&lt;="&amp;EOMONTH(SETUP!$B$8,4))</f>
        <v/>
      </c>
      <c r="H13" s="15">
        <f>SUMIFS(JOURNAL!$I$5:$I$504,JOURNAL!$C$5:$C$504,$A13,JOURNAL!$A$5:$A$504,"&gt;="&amp;DATE(YEAR(SETUP!$B$8),MONTH(SETUP!$B$8)+5,1),JOURNAL!$A$5:$A$504,"&lt;="&amp;EOMONTH(SETUP!$B$8,5))-SUMIFS(JOURNAL!$J$5:$J$504,JOURNAL!$C$5:$C$504,$A13,JOURNAL!$A$5:$A$504,"&gt;="&amp;DATE(YEAR(SETUP!$B$8),MONTH(SETUP!$B$8)+5,1),JOURNAL!$A$5:$A$504,"&lt;="&amp;EOMONTH(SETUP!$B$8,5))</f>
        <v/>
      </c>
      <c r="I13" s="15">
        <f>SUMIFS(JOURNAL!$I$5:$I$504,JOURNAL!$C$5:$C$504,$A13,JOURNAL!$A$5:$A$504,"&gt;="&amp;DATE(YEAR(SETUP!$B$8),MONTH(SETUP!$B$8)+6,1),JOURNAL!$A$5:$A$504,"&lt;="&amp;EOMONTH(SETUP!$B$8,6))-SUMIFS(JOURNAL!$J$5:$J$504,JOURNAL!$C$5:$C$504,$A13,JOURNAL!$A$5:$A$504,"&gt;="&amp;DATE(YEAR(SETUP!$B$8),MONTH(SETUP!$B$8)+6,1),JOURNAL!$A$5:$A$504,"&lt;="&amp;EOMONTH(SETUP!$B$8,6))</f>
        <v/>
      </c>
      <c r="J13" s="15">
        <f>SUMIFS(JOURNAL!$I$5:$I$504,JOURNAL!$C$5:$C$504,$A13,JOURNAL!$A$5:$A$504,"&gt;="&amp;DATE(YEAR(SETUP!$B$8),MONTH(SETUP!$B$8)+7,1),JOURNAL!$A$5:$A$504,"&lt;="&amp;EOMONTH(SETUP!$B$8,7))-SUMIFS(JOURNAL!$J$5:$J$504,JOURNAL!$C$5:$C$504,$A13,JOURNAL!$A$5:$A$504,"&gt;="&amp;DATE(YEAR(SETUP!$B$8),MONTH(SETUP!$B$8)+7,1),JOURNAL!$A$5:$A$504,"&lt;="&amp;EOMONTH(SETUP!$B$8,7))</f>
        <v/>
      </c>
      <c r="K13" s="15">
        <f>SUMIFS(JOURNAL!$I$5:$I$504,JOURNAL!$C$5:$C$504,$A13,JOURNAL!$A$5:$A$504,"&gt;="&amp;DATE(YEAR(SETUP!$B$8),MONTH(SETUP!$B$8)+8,1),JOURNAL!$A$5:$A$504,"&lt;="&amp;EOMONTH(SETUP!$B$8,8))-SUMIFS(JOURNAL!$J$5:$J$504,JOURNAL!$C$5:$C$504,$A13,JOURNAL!$A$5:$A$504,"&gt;="&amp;DATE(YEAR(SETUP!$B$8),MONTH(SETUP!$B$8)+8,1),JOURNAL!$A$5:$A$504,"&lt;="&amp;EOMONTH(SETUP!$B$8,8))</f>
        <v/>
      </c>
      <c r="L13" s="15">
        <f>SUMIFS(JOURNAL!$I$5:$I$504,JOURNAL!$C$5:$C$504,$A13,JOURNAL!$A$5:$A$504,"&gt;="&amp;DATE(YEAR(SETUP!$B$8),MONTH(SETUP!$B$8)+9,1),JOURNAL!$A$5:$A$504,"&lt;="&amp;EOMONTH(SETUP!$B$8,9))-SUMIFS(JOURNAL!$J$5:$J$504,JOURNAL!$C$5:$C$504,$A13,JOURNAL!$A$5:$A$504,"&gt;="&amp;DATE(YEAR(SETUP!$B$8),MONTH(SETUP!$B$8)+9,1),JOURNAL!$A$5:$A$504,"&lt;="&amp;EOMONTH(SETUP!$B$8,9))</f>
        <v/>
      </c>
      <c r="M13" s="15">
        <f>SUMIFS(JOURNAL!$I$5:$I$504,JOURNAL!$C$5:$C$504,$A13,JOURNAL!$A$5:$A$504,"&gt;="&amp;DATE(YEAR(SETUP!$B$8),MONTH(SETUP!$B$8)+10,1),JOURNAL!$A$5:$A$504,"&lt;="&amp;EOMONTH(SETUP!$B$8,10))-SUMIFS(JOURNAL!$J$5:$J$504,JOURNAL!$C$5:$C$504,$A13,JOURNAL!$A$5:$A$504,"&gt;="&amp;DATE(YEAR(SETUP!$B$8),MONTH(SETUP!$B$8)+10,1),JOURNAL!$A$5:$A$504,"&lt;="&amp;EOMONTH(SETUP!$B$8,10))</f>
        <v/>
      </c>
      <c r="N13" s="15">
        <f>SUMIFS(JOURNAL!$I$5:$I$504,JOURNAL!$C$5:$C$504,$A13,JOURNAL!$A$5:$A$504,"&gt;="&amp;DATE(YEAR(SETUP!$B$8),MONTH(SETUP!$B$8)+11,1),JOURNAL!$A$5:$A$504,"&lt;="&amp;EOMONTH(SETUP!$B$8,11))-SUMIFS(JOURNAL!$J$5:$J$504,JOURNAL!$C$5:$C$504,$A13,JOURNAL!$A$5:$A$504,"&gt;="&amp;DATE(YEAR(SETUP!$B$8),MONTH(SETUP!$B$8)+11,1),JOURNAL!$A$5:$A$504,"&lt;="&amp;EOMONTH(SETUP!$B$8,11))</f>
        <v/>
      </c>
      <c r="O13" s="16">
        <f>SUM(C13:N13)</f>
        <v/>
      </c>
    </row>
    <row r="14">
      <c r="A14" t="inlineStr">
        <is>
          <t>1500</t>
        </is>
      </c>
      <c r="B14" t="inlineStr">
        <is>
          <t>Plant and equipment at cost</t>
        </is>
      </c>
      <c r="C14" s="15">
        <f>SUMIFS(JOURNAL!$I$5:$I$504,JOURNAL!$C$5:$C$504,$A14,JOURNAL!$A$5:$A$504,"&gt;="&amp;DATE(YEAR(SETUP!$B$8),MONTH(SETUP!$B$8)+0,1),JOURNAL!$A$5:$A$504,"&lt;="&amp;EOMONTH(SETUP!$B$8,0))-SUMIFS(JOURNAL!$J$5:$J$504,JOURNAL!$C$5:$C$504,$A14,JOURNAL!$A$5:$A$504,"&gt;="&amp;DATE(YEAR(SETUP!$B$8),MONTH(SETUP!$B$8)+0,1),JOURNAL!$A$5:$A$504,"&lt;="&amp;EOMONTH(SETUP!$B$8,0))</f>
        <v/>
      </c>
      <c r="D14" s="15">
        <f>SUMIFS(JOURNAL!$I$5:$I$504,JOURNAL!$C$5:$C$504,$A14,JOURNAL!$A$5:$A$504,"&gt;="&amp;DATE(YEAR(SETUP!$B$8),MONTH(SETUP!$B$8)+1,1),JOURNAL!$A$5:$A$504,"&lt;="&amp;EOMONTH(SETUP!$B$8,1))-SUMIFS(JOURNAL!$J$5:$J$504,JOURNAL!$C$5:$C$504,$A14,JOURNAL!$A$5:$A$504,"&gt;="&amp;DATE(YEAR(SETUP!$B$8),MONTH(SETUP!$B$8)+1,1),JOURNAL!$A$5:$A$504,"&lt;="&amp;EOMONTH(SETUP!$B$8,1))</f>
        <v/>
      </c>
      <c r="E14" s="15">
        <f>SUMIFS(JOURNAL!$I$5:$I$504,JOURNAL!$C$5:$C$504,$A14,JOURNAL!$A$5:$A$504,"&gt;="&amp;DATE(YEAR(SETUP!$B$8),MONTH(SETUP!$B$8)+2,1),JOURNAL!$A$5:$A$504,"&lt;="&amp;EOMONTH(SETUP!$B$8,2))-SUMIFS(JOURNAL!$J$5:$J$504,JOURNAL!$C$5:$C$504,$A14,JOURNAL!$A$5:$A$504,"&gt;="&amp;DATE(YEAR(SETUP!$B$8),MONTH(SETUP!$B$8)+2,1),JOURNAL!$A$5:$A$504,"&lt;="&amp;EOMONTH(SETUP!$B$8,2))</f>
        <v/>
      </c>
      <c r="F14" s="15">
        <f>SUMIFS(JOURNAL!$I$5:$I$504,JOURNAL!$C$5:$C$504,$A14,JOURNAL!$A$5:$A$504,"&gt;="&amp;DATE(YEAR(SETUP!$B$8),MONTH(SETUP!$B$8)+3,1),JOURNAL!$A$5:$A$504,"&lt;="&amp;EOMONTH(SETUP!$B$8,3))-SUMIFS(JOURNAL!$J$5:$J$504,JOURNAL!$C$5:$C$504,$A14,JOURNAL!$A$5:$A$504,"&gt;="&amp;DATE(YEAR(SETUP!$B$8),MONTH(SETUP!$B$8)+3,1),JOURNAL!$A$5:$A$504,"&lt;="&amp;EOMONTH(SETUP!$B$8,3))</f>
        <v/>
      </c>
      <c r="G14" s="15">
        <f>SUMIFS(JOURNAL!$I$5:$I$504,JOURNAL!$C$5:$C$504,$A14,JOURNAL!$A$5:$A$504,"&gt;="&amp;DATE(YEAR(SETUP!$B$8),MONTH(SETUP!$B$8)+4,1),JOURNAL!$A$5:$A$504,"&lt;="&amp;EOMONTH(SETUP!$B$8,4))-SUMIFS(JOURNAL!$J$5:$J$504,JOURNAL!$C$5:$C$504,$A14,JOURNAL!$A$5:$A$504,"&gt;="&amp;DATE(YEAR(SETUP!$B$8),MONTH(SETUP!$B$8)+4,1),JOURNAL!$A$5:$A$504,"&lt;="&amp;EOMONTH(SETUP!$B$8,4))</f>
        <v/>
      </c>
      <c r="H14" s="15">
        <f>SUMIFS(JOURNAL!$I$5:$I$504,JOURNAL!$C$5:$C$504,$A14,JOURNAL!$A$5:$A$504,"&gt;="&amp;DATE(YEAR(SETUP!$B$8),MONTH(SETUP!$B$8)+5,1),JOURNAL!$A$5:$A$504,"&lt;="&amp;EOMONTH(SETUP!$B$8,5))-SUMIFS(JOURNAL!$J$5:$J$504,JOURNAL!$C$5:$C$504,$A14,JOURNAL!$A$5:$A$504,"&gt;="&amp;DATE(YEAR(SETUP!$B$8),MONTH(SETUP!$B$8)+5,1),JOURNAL!$A$5:$A$504,"&lt;="&amp;EOMONTH(SETUP!$B$8,5))</f>
        <v/>
      </c>
      <c r="I14" s="15">
        <f>SUMIFS(JOURNAL!$I$5:$I$504,JOURNAL!$C$5:$C$504,$A14,JOURNAL!$A$5:$A$504,"&gt;="&amp;DATE(YEAR(SETUP!$B$8),MONTH(SETUP!$B$8)+6,1),JOURNAL!$A$5:$A$504,"&lt;="&amp;EOMONTH(SETUP!$B$8,6))-SUMIFS(JOURNAL!$J$5:$J$504,JOURNAL!$C$5:$C$504,$A14,JOURNAL!$A$5:$A$504,"&gt;="&amp;DATE(YEAR(SETUP!$B$8),MONTH(SETUP!$B$8)+6,1),JOURNAL!$A$5:$A$504,"&lt;="&amp;EOMONTH(SETUP!$B$8,6))</f>
        <v/>
      </c>
      <c r="J14" s="15">
        <f>SUMIFS(JOURNAL!$I$5:$I$504,JOURNAL!$C$5:$C$504,$A14,JOURNAL!$A$5:$A$504,"&gt;="&amp;DATE(YEAR(SETUP!$B$8),MONTH(SETUP!$B$8)+7,1),JOURNAL!$A$5:$A$504,"&lt;="&amp;EOMONTH(SETUP!$B$8,7))-SUMIFS(JOURNAL!$J$5:$J$504,JOURNAL!$C$5:$C$504,$A14,JOURNAL!$A$5:$A$504,"&gt;="&amp;DATE(YEAR(SETUP!$B$8),MONTH(SETUP!$B$8)+7,1),JOURNAL!$A$5:$A$504,"&lt;="&amp;EOMONTH(SETUP!$B$8,7))</f>
        <v/>
      </c>
      <c r="K14" s="15">
        <f>SUMIFS(JOURNAL!$I$5:$I$504,JOURNAL!$C$5:$C$504,$A14,JOURNAL!$A$5:$A$504,"&gt;="&amp;DATE(YEAR(SETUP!$B$8),MONTH(SETUP!$B$8)+8,1),JOURNAL!$A$5:$A$504,"&lt;="&amp;EOMONTH(SETUP!$B$8,8))-SUMIFS(JOURNAL!$J$5:$J$504,JOURNAL!$C$5:$C$504,$A14,JOURNAL!$A$5:$A$504,"&gt;="&amp;DATE(YEAR(SETUP!$B$8),MONTH(SETUP!$B$8)+8,1),JOURNAL!$A$5:$A$504,"&lt;="&amp;EOMONTH(SETUP!$B$8,8))</f>
        <v/>
      </c>
      <c r="L14" s="15">
        <f>SUMIFS(JOURNAL!$I$5:$I$504,JOURNAL!$C$5:$C$504,$A14,JOURNAL!$A$5:$A$504,"&gt;="&amp;DATE(YEAR(SETUP!$B$8),MONTH(SETUP!$B$8)+9,1),JOURNAL!$A$5:$A$504,"&lt;="&amp;EOMONTH(SETUP!$B$8,9))-SUMIFS(JOURNAL!$J$5:$J$504,JOURNAL!$C$5:$C$504,$A14,JOURNAL!$A$5:$A$504,"&gt;="&amp;DATE(YEAR(SETUP!$B$8),MONTH(SETUP!$B$8)+9,1),JOURNAL!$A$5:$A$504,"&lt;="&amp;EOMONTH(SETUP!$B$8,9))</f>
        <v/>
      </c>
      <c r="M14" s="15">
        <f>SUMIFS(JOURNAL!$I$5:$I$504,JOURNAL!$C$5:$C$504,$A14,JOURNAL!$A$5:$A$504,"&gt;="&amp;DATE(YEAR(SETUP!$B$8),MONTH(SETUP!$B$8)+10,1),JOURNAL!$A$5:$A$504,"&lt;="&amp;EOMONTH(SETUP!$B$8,10))-SUMIFS(JOURNAL!$J$5:$J$504,JOURNAL!$C$5:$C$504,$A14,JOURNAL!$A$5:$A$504,"&gt;="&amp;DATE(YEAR(SETUP!$B$8),MONTH(SETUP!$B$8)+10,1),JOURNAL!$A$5:$A$504,"&lt;="&amp;EOMONTH(SETUP!$B$8,10))</f>
        <v/>
      </c>
      <c r="N14" s="15">
        <f>SUMIFS(JOURNAL!$I$5:$I$504,JOURNAL!$C$5:$C$504,$A14,JOURNAL!$A$5:$A$504,"&gt;="&amp;DATE(YEAR(SETUP!$B$8),MONTH(SETUP!$B$8)+11,1),JOURNAL!$A$5:$A$504,"&lt;="&amp;EOMONTH(SETUP!$B$8,11))-SUMIFS(JOURNAL!$J$5:$J$504,JOURNAL!$C$5:$C$504,$A14,JOURNAL!$A$5:$A$504,"&gt;="&amp;DATE(YEAR(SETUP!$B$8),MONTH(SETUP!$B$8)+11,1),JOURNAL!$A$5:$A$504,"&lt;="&amp;EOMONTH(SETUP!$B$8,11))</f>
        <v/>
      </c>
      <c r="O14" s="16">
        <f>SUM(C14:N14)</f>
        <v/>
      </c>
    </row>
    <row r="15">
      <c r="A15" t="inlineStr">
        <is>
          <t>1510</t>
        </is>
      </c>
      <c r="B15" t="inlineStr">
        <is>
          <t>Accumulated depreciation</t>
        </is>
      </c>
      <c r="C15" s="15">
        <f>SUMIFS(JOURNAL!$I$5:$I$504,JOURNAL!$C$5:$C$504,$A15,JOURNAL!$A$5:$A$504,"&gt;="&amp;DATE(YEAR(SETUP!$B$8),MONTH(SETUP!$B$8)+0,1),JOURNAL!$A$5:$A$504,"&lt;="&amp;EOMONTH(SETUP!$B$8,0))-SUMIFS(JOURNAL!$J$5:$J$504,JOURNAL!$C$5:$C$504,$A15,JOURNAL!$A$5:$A$504,"&gt;="&amp;DATE(YEAR(SETUP!$B$8),MONTH(SETUP!$B$8)+0,1),JOURNAL!$A$5:$A$504,"&lt;="&amp;EOMONTH(SETUP!$B$8,0))</f>
        <v/>
      </c>
      <c r="D15" s="15">
        <f>SUMIFS(JOURNAL!$I$5:$I$504,JOURNAL!$C$5:$C$504,$A15,JOURNAL!$A$5:$A$504,"&gt;="&amp;DATE(YEAR(SETUP!$B$8),MONTH(SETUP!$B$8)+1,1),JOURNAL!$A$5:$A$504,"&lt;="&amp;EOMONTH(SETUP!$B$8,1))-SUMIFS(JOURNAL!$J$5:$J$504,JOURNAL!$C$5:$C$504,$A15,JOURNAL!$A$5:$A$504,"&gt;="&amp;DATE(YEAR(SETUP!$B$8),MONTH(SETUP!$B$8)+1,1),JOURNAL!$A$5:$A$504,"&lt;="&amp;EOMONTH(SETUP!$B$8,1))</f>
        <v/>
      </c>
      <c r="E15" s="15">
        <f>SUMIFS(JOURNAL!$I$5:$I$504,JOURNAL!$C$5:$C$504,$A15,JOURNAL!$A$5:$A$504,"&gt;="&amp;DATE(YEAR(SETUP!$B$8),MONTH(SETUP!$B$8)+2,1),JOURNAL!$A$5:$A$504,"&lt;="&amp;EOMONTH(SETUP!$B$8,2))-SUMIFS(JOURNAL!$J$5:$J$504,JOURNAL!$C$5:$C$504,$A15,JOURNAL!$A$5:$A$504,"&gt;="&amp;DATE(YEAR(SETUP!$B$8),MONTH(SETUP!$B$8)+2,1),JOURNAL!$A$5:$A$504,"&lt;="&amp;EOMONTH(SETUP!$B$8,2))</f>
        <v/>
      </c>
      <c r="F15" s="15">
        <f>SUMIFS(JOURNAL!$I$5:$I$504,JOURNAL!$C$5:$C$504,$A15,JOURNAL!$A$5:$A$504,"&gt;="&amp;DATE(YEAR(SETUP!$B$8),MONTH(SETUP!$B$8)+3,1),JOURNAL!$A$5:$A$504,"&lt;="&amp;EOMONTH(SETUP!$B$8,3))-SUMIFS(JOURNAL!$J$5:$J$504,JOURNAL!$C$5:$C$504,$A15,JOURNAL!$A$5:$A$504,"&gt;="&amp;DATE(YEAR(SETUP!$B$8),MONTH(SETUP!$B$8)+3,1),JOURNAL!$A$5:$A$504,"&lt;="&amp;EOMONTH(SETUP!$B$8,3))</f>
        <v/>
      </c>
      <c r="G15" s="15">
        <f>SUMIFS(JOURNAL!$I$5:$I$504,JOURNAL!$C$5:$C$504,$A15,JOURNAL!$A$5:$A$504,"&gt;="&amp;DATE(YEAR(SETUP!$B$8),MONTH(SETUP!$B$8)+4,1),JOURNAL!$A$5:$A$504,"&lt;="&amp;EOMONTH(SETUP!$B$8,4))-SUMIFS(JOURNAL!$J$5:$J$504,JOURNAL!$C$5:$C$504,$A15,JOURNAL!$A$5:$A$504,"&gt;="&amp;DATE(YEAR(SETUP!$B$8),MONTH(SETUP!$B$8)+4,1),JOURNAL!$A$5:$A$504,"&lt;="&amp;EOMONTH(SETUP!$B$8,4))</f>
        <v/>
      </c>
      <c r="H15" s="15">
        <f>SUMIFS(JOURNAL!$I$5:$I$504,JOURNAL!$C$5:$C$504,$A15,JOURNAL!$A$5:$A$504,"&gt;="&amp;DATE(YEAR(SETUP!$B$8),MONTH(SETUP!$B$8)+5,1),JOURNAL!$A$5:$A$504,"&lt;="&amp;EOMONTH(SETUP!$B$8,5))-SUMIFS(JOURNAL!$J$5:$J$504,JOURNAL!$C$5:$C$504,$A15,JOURNAL!$A$5:$A$504,"&gt;="&amp;DATE(YEAR(SETUP!$B$8),MONTH(SETUP!$B$8)+5,1),JOURNAL!$A$5:$A$504,"&lt;="&amp;EOMONTH(SETUP!$B$8,5))</f>
        <v/>
      </c>
      <c r="I15" s="15">
        <f>SUMIFS(JOURNAL!$I$5:$I$504,JOURNAL!$C$5:$C$504,$A15,JOURNAL!$A$5:$A$504,"&gt;="&amp;DATE(YEAR(SETUP!$B$8),MONTH(SETUP!$B$8)+6,1),JOURNAL!$A$5:$A$504,"&lt;="&amp;EOMONTH(SETUP!$B$8,6))-SUMIFS(JOURNAL!$J$5:$J$504,JOURNAL!$C$5:$C$504,$A15,JOURNAL!$A$5:$A$504,"&gt;="&amp;DATE(YEAR(SETUP!$B$8),MONTH(SETUP!$B$8)+6,1),JOURNAL!$A$5:$A$504,"&lt;="&amp;EOMONTH(SETUP!$B$8,6))</f>
        <v/>
      </c>
      <c r="J15" s="15">
        <f>SUMIFS(JOURNAL!$I$5:$I$504,JOURNAL!$C$5:$C$504,$A15,JOURNAL!$A$5:$A$504,"&gt;="&amp;DATE(YEAR(SETUP!$B$8),MONTH(SETUP!$B$8)+7,1),JOURNAL!$A$5:$A$504,"&lt;="&amp;EOMONTH(SETUP!$B$8,7))-SUMIFS(JOURNAL!$J$5:$J$504,JOURNAL!$C$5:$C$504,$A15,JOURNAL!$A$5:$A$504,"&gt;="&amp;DATE(YEAR(SETUP!$B$8),MONTH(SETUP!$B$8)+7,1),JOURNAL!$A$5:$A$504,"&lt;="&amp;EOMONTH(SETUP!$B$8,7))</f>
        <v/>
      </c>
      <c r="K15" s="15">
        <f>SUMIFS(JOURNAL!$I$5:$I$504,JOURNAL!$C$5:$C$504,$A15,JOURNAL!$A$5:$A$504,"&gt;="&amp;DATE(YEAR(SETUP!$B$8),MONTH(SETUP!$B$8)+8,1),JOURNAL!$A$5:$A$504,"&lt;="&amp;EOMONTH(SETUP!$B$8,8))-SUMIFS(JOURNAL!$J$5:$J$504,JOURNAL!$C$5:$C$504,$A15,JOURNAL!$A$5:$A$504,"&gt;="&amp;DATE(YEAR(SETUP!$B$8),MONTH(SETUP!$B$8)+8,1),JOURNAL!$A$5:$A$504,"&lt;="&amp;EOMONTH(SETUP!$B$8,8))</f>
        <v/>
      </c>
      <c r="L15" s="15">
        <f>SUMIFS(JOURNAL!$I$5:$I$504,JOURNAL!$C$5:$C$504,$A15,JOURNAL!$A$5:$A$504,"&gt;="&amp;DATE(YEAR(SETUP!$B$8),MONTH(SETUP!$B$8)+9,1),JOURNAL!$A$5:$A$504,"&lt;="&amp;EOMONTH(SETUP!$B$8,9))-SUMIFS(JOURNAL!$J$5:$J$504,JOURNAL!$C$5:$C$504,$A15,JOURNAL!$A$5:$A$504,"&gt;="&amp;DATE(YEAR(SETUP!$B$8),MONTH(SETUP!$B$8)+9,1),JOURNAL!$A$5:$A$504,"&lt;="&amp;EOMONTH(SETUP!$B$8,9))</f>
        <v/>
      </c>
      <c r="M15" s="15">
        <f>SUMIFS(JOURNAL!$I$5:$I$504,JOURNAL!$C$5:$C$504,$A15,JOURNAL!$A$5:$A$504,"&gt;="&amp;DATE(YEAR(SETUP!$B$8),MONTH(SETUP!$B$8)+10,1),JOURNAL!$A$5:$A$504,"&lt;="&amp;EOMONTH(SETUP!$B$8,10))-SUMIFS(JOURNAL!$J$5:$J$504,JOURNAL!$C$5:$C$504,$A15,JOURNAL!$A$5:$A$504,"&gt;="&amp;DATE(YEAR(SETUP!$B$8),MONTH(SETUP!$B$8)+10,1),JOURNAL!$A$5:$A$504,"&lt;="&amp;EOMONTH(SETUP!$B$8,10))</f>
        <v/>
      </c>
      <c r="N15" s="15">
        <f>SUMIFS(JOURNAL!$I$5:$I$504,JOURNAL!$C$5:$C$504,$A15,JOURNAL!$A$5:$A$504,"&gt;="&amp;DATE(YEAR(SETUP!$B$8),MONTH(SETUP!$B$8)+11,1),JOURNAL!$A$5:$A$504,"&lt;="&amp;EOMONTH(SETUP!$B$8,11))-SUMIFS(JOURNAL!$J$5:$J$504,JOURNAL!$C$5:$C$504,$A15,JOURNAL!$A$5:$A$504,"&gt;="&amp;DATE(YEAR(SETUP!$B$8),MONTH(SETUP!$B$8)+11,1),JOURNAL!$A$5:$A$504,"&lt;="&amp;EOMONTH(SETUP!$B$8,11))</f>
        <v/>
      </c>
      <c r="O15" s="16">
        <f>SUM(C15:N15)</f>
        <v/>
      </c>
    </row>
    <row r="16">
      <c r="A16" t="inlineStr">
        <is>
          <t>2000</t>
        </is>
      </c>
      <c r="B16" t="inlineStr">
        <is>
          <t>Trade payables</t>
        </is>
      </c>
      <c r="C16" s="15">
        <f>SUMIFS(JOURNAL!$I$5:$I$504,JOURNAL!$C$5:$C$504,$A16,JOURNAL!$A$5:$A$504,"&gt;="&amp;DATE(YEAR(SETUP!$B$8),MONTH(SETUP!$B$8)+0,1),JOURNAL!$A$5:$A$504,"&lt;="&amp;EOMONTH(SETUP!$B$8,0))-SUMIFS(JOURNAL!$J$5:$J$504,JOURNAL!$C$5:$C$504,$A16,JOURNAL!$A$5:$A$504,"&gt;="&amp;DATE(YEAR(SETUP!$B$8),MONTH(SETUP!$B$8)+0,1),JOURNAL!$A$5:$A$504,"&lt;="&amp;EOMONTH(SETUP!$B$8,0))</f>
        <v/>
      </c>
      <c r="D16" s="15">
        <f>SUMIFS(JOURNAL!$I$5:$I$504,JOURNAL!$C$5:$C$504,$A16,JOURNAL!$A$5:$A$504,"&gt;="&amp;DATE(YEAR(SETUP!$B$8),MONTH(SETUP!$B$8)+1,1),JOURNAL!$A$5:$A$504,"&lt;="&amp;EOMONTH(SETUP!$B$8,1))-SUMIFS(JOURNAL!$J$5:$J$504,JOURNAL!$C$5:$C$504,$A16,JOURNAL!$A$5:$A$504,"&gt;="&amp;DATE(YEAR(SETUP!$B$8),MONTH(SETUP!$B$8)+1,1),JOURNAL!$A$5:$A$504,"&lt;="&amp;EOMONTH(SETUP!$B$8,1))</f>
        <v/>
      </c>
      <c r="E16" s="15">
        <f>SUMIFS(JOURNAL!$I$5:$I$504,JOURNAL!$C$5:$C$504,$A16,JOURNAL!$A$5:$A$504,"&gt;="&amp;DATE(YEAR(SETUP!$B$8),MONTH(SETUP!$B$8)+2,1),JOURNAL!$A$5:$A$504,"&lt;="&amp;EOMONTH(SETUP!$B$8,2))-SUMIFS(JOURNAL!$J$5:$J$504,JOURNAL!$C$5:$C$504,$A16,JOURNAL!$A$5:$A$504,"&gt;="&amp;DATE(YEAR(SETUP!$B$8),MONTH(SETUP!$B$8)+2,1),JOURNAL!$A$5:$A$504,"&lt;="&amp;EOMONTH(SETUP!$B$8,2))</f>
        <v/>
      </c>
      <c r="F16" s="15">
        <f>SUMIFS(JOURNAL!$I$5:$I$504,JOURNAL!$C$5:$C$504,$A16,JOURNAL!$A$5:$A$504,"&gt;="&amp;DATE(YEAR(SETUP!$B$8),MONTH(SETUP!$B$8)+3,1),JOURNAL!$A$5:$A$504,"&lt;="&amp;EOMONTH(SETUP!$B$8,3))-SUMIFS(JOURNAL!$J$5:$J$504,JOURNAL!$C$5:$C$504,$A16,JOURNAL!$A$5:$A$504,"&gt;="&amp;DATE(YEAR(SETUP!$B$8),MONTH(SETUP!$B$8)+3,1),JOURNAL!$A$5:$A$504,"&lt;="&amp;EOMONTH(SETUP!$B$8,3))</f>
        <v/>
      </c>
      <c r="G16" s="15">
        <f>SUMIFS(JOURNAL!$I$5:$I$504,JOURNAL!$C$5:$C$504,$A16,JOURNAL!$A$5:$A$504,"&gt;="&amp;DATE(YEAR(SETUP!$B$8),MONTH(SETUP!$B$8)+4,1),JOURNAL!$A$5:$A$504,"&lt;="&amp;EOMONTH(SETUP!$B$8,4))-SUMIFS(JOURNAL!$J$5:$J$504,JOURNAL!$C$5:$C$504,$A16,JOURNAL!$A$5:$A$504,"&gt;="&amp;DATE(YEAR(SETUP!$B$8),MONTH(SETUP!$B$8)+4,1),JOURNAL!$A$5:$A$504,"&lt;="&amp;EOMONTH(SETUP!$B$8,4))</f>
        <v/>
      </c>
      <c r="H16" s="15">
        <f>SUMIFS(JOURNAL!$I$5:$I$504,JOURNAL!$C$5:$C$504,$A16,JOURNAL!$A$5:$A$504,"&gt;="&amp;DATE(YEAR(SETUP!$B$8),MONTH(SETUP!$B$8)+5,1),JOURNAL!$A$5:$A$504,"&lt;="&amp;EOMONTH(SETUP!$B$8,5))-SUMIFS(JOURNAL!$J$5:$J$504,JOURNAL!$C$5:$C$504,$A16,JOURNAL!$A$5:$A$504,"&gt;="&amp;DATE(YEAR(SETUP!$B$8),MONTH(SETUP!$B$8)+5,1),JOURNAL!$A$5:$A$504,"&lt;="&amp;EOMONTH(SETUP!$B$8,5))</f>
        <v/>
      </c>
      <c r="I16" s="15">
        <f>SUMIFS(JOURNAL!$I$5:$I$504,JOURNAL!$C$5:$C$504,$A16,JOURNAL!$A$5:$A$504,"&gt;="&amp;DATE(YEAR(SETUP!$B$8),MONTH(SETUP!$B$8)+6,1),JOURNAL!$A$5:$A$504,"&lt;="&amp;EOMONTH(SETUP!$B$8,6))-SUMIFS(JOURNAL!$J$5:$J$504,JOURNAL!$C$5:$C$504,$A16,JOURNAL!$A$5:$A$504,"&gt;="&amp;DATE(YEAR(SETUP!$B$8),MONTH(SETUP!$B$8)+6,1),JOURNAL!$A$5:$A$504,"&lt;="&amp;EOMONTH(SETUP!$B$8,6))</f>
        <v/>
      </c>
      <c r="J16" s="15">
        <f>SUMIFS(JOURNAL!$I$5:$I$504,JOURNAL!$C$5:$C$504,$A16,JOURNAL!$A$5:$A$504,"&gt;="&amp;DATE(YEAR(SETUP!$B$8),MONTH(SETUP!$B$8)+7,1),JOURNAL!$A$5:$A$504,"&lt;="&amp;EOMONTH(SETUP!$B$8,7))-SUMIFS(JOURNAL!$J$5:$J$504,JOURNAL!$C$5:$C$504,$A16,JOURNAL!$A$5:$A$504,"&gt;="&amp;DATE(YEAR(SETUP!$B$8),MONTH(SETUP!$B$8)+7,1),JOURNAL!$A$5:$A$504,"&lt;="&amp;EOMONTH(SETUP!$B$8,7))</f>
        <v/>
      </c>
      <c r="K16" s="15">
        <f>SUMIFS(JOURNAL!$I$5:$I$504,JOURNAL!$C$5:$C$504,$A16,JOURNAL!$A$5:$A$504,"&gt;="&amp;DATE(YEAR(SETUP!$B$8),MONTH(SETUP!$B$8)+8,1),JOURNAL!$A$5:$A$504,"&lt;="&amp;EOMONTH(SETUP!$B$8,8))-SUMIFS(JOURNAL!$J$5:$J$504,JOURNAL!$C$5:$C$504,$A16,JOURNAL!$A$5:$A$504,"&gt;="&amp;DATE(YEAR(SETUP!$B$8),MONTH(SETUP!$B$8)+8,1),JOURNAL!$A$5:$A$504,"&lt;="&amp;EOMONTH(SETUP!$B$8,8))</f>
        <v/>
      </c>
      <c r="L16" s="15">
        <f>SUMIFS(JOURNAL!$I$5:$I$504,JOURNAL!$C$5:$C$504,$A16,JOURNAL!$A$5:$A$504,"&gt;="&amp;DATE(YEAR(SETUP!$B$8),MONTH(SETUP!$B$8)+9,1),JOURNAL!$A$5:$A$504,"&lt;="&amp;EOMONTH(SETUP!$B$8,9))-SUMIFS(JOURNAL!$J$5:$J$504,JOURNAL!$C$5:$C$504,$A16,JOURNAL!$A$5:$A$504,"&gt;="&amp;DATE(YEAR(SETUP!$B$8),MONTH(SETUP!$B$8)+9,1),JOURNAL!$A$5:$A$504,"&lt;="&amp;EOMONTH(SETUP!$B$8,9))</f>
        <v/>
      </c>
      <c r="M16" s="15">
        <f>SUMIFS(JOURNAL!$I$5:$I$504,JOURNAL!$C$5:$C$504,$A16,JOURNAL!$A$5:$A$504,"&gt;="&amp;DATE(YEAR(SETUP!$B$8),MONTH(SETUP!$B$8)+10,1),JOURNAL!$A$5:$A$504,"&lt;="&amp;EOMONTH(SETUP!$B$8,10))-SUMIFS(JOURNAL!$J$5:$J$504,JOURNAL!$C$5:$C$504,$A16,JOURNAL!$A$5:$A$504,"&gt;="&amp;DATE(YEAR(SETUP!$B$8),MONTH(SETUP!$B$8)+10,1),JOURNAL!$A$5:$A$504,"&lt;="&amp;EOMONTH(SETUP!$B$8,10))</f>
        <v/>
      </c>
      <c r="N16" s="15">
        <f>SUMIFS(JOURNAL!$I$5:$I$504,JOURNAL!$C$5:$C$504,$A16,JOURNAL!$A$5:$A$504,"&gt;="&amp;DATE(YEAR(SETUP!$B$8),MONTH(SETUP!$B$8)+11,1),JOURNAL!$A$5:$A$504,"&lt;="&amp;EOMONTH(SETUP!$B$8,11))-SUMIFS(JOURNAL!$J$5:$J$504,JOURNAL!$C$5:$C$504,$A16,JOURNAL!$A$5:$A$504,"&gt;="&amp;DATE(YEAR(SETUP!$B$8),MONTH(SETUP!$B$8)+11,1),JOURNAL!$A$5:$A$504,"&lt;="&amp;EOMONTH(SETUP!$B$8,11))</f>
        <v/>
      </c>
      <c r="O16" s="16">
        <f>SUM(C16:N16)</f>
        <v/>
      </c>
    </row>
    <row r="17">
      <c r="A17" t="inlineStr">
        <is>
          <t>2100</t>
        </is>
      </c>
      <c r="B17" t="inlineStr">
        <is>
          <t>CUSTOMER DEPOSITS — refundable</t>
        </is>
      </c>
      <c r="C17" s="15">
        <f>SUMIFS(JOURNAL!$I$5:$I$504,JOURNAL!$C$5:$C$504,$A17,JOURNAL!$A$5:$A$504,"&gt;="&amp;DATE(YEAR(SETUP!$B$8),MONTH(SETUP!$B$8)+0,1),JOURNAL!$A$5:$A$504,"&lt;="&amp;EOMONTH(SETUP!$B$8,0))-SUMIFS(JOURNAL!$J$5:$J$504,JOURNAL!$C$5:$C$504,$A17,JOURNAL!$A$5:$A$504,"&gt;="&amp;DATE(YEAR(SETUP!$B$8),MONTH(SETUP!$B$8)+0,1),JOURNAL!$A$5:$A$504,"&lt;="&amp;EOMONTH(SETUP!$B$8,0))</f>
        <v/>
      </c>
      <c r="D17" s="15">
        <f>SUMIFS(JOURNAL!$I$5:$I$504,JOURNAL!$C$5:$C$504,$A17,JOURNAL!$A$5:$A$504,"&gt;="&amp;DATE(YEAR(SETUP!$B$8),MONTH(SETUP!$B$8)+1,1),JOURNAL!$A$5:$A$504,"&lt;="&amp;EOMONTH(SETUP!$B$8,1))-SUMIFS(JOURNAL!$J$5:$J$504,JOURNAL!$C$5:$C$504,$A17,JOURNAL!$A$5:$A$504,"&gt;="&amp;DATE(YEAR(SETUP!$B$8),MONTH(SETUP!$B$8)+1,1),JOURNAL!$A$5:$A$504,"&lt;="&amp;EOMONTH(SETUP!$B$8,1))</f>
        <v/>
      </c>
      <c r="E17" s="15">
        <f>SUMIFS(JOURNAL!$I$5:$I$504,JOURNAL!$C$5:$C$504,$A17,JOURNAL!$A$5:$A$504,"&gt;="&amp;DATE(YEAR(SETUP!$B$8),MONTH(SETUP!$B$8)+2,1),JOURNAL!$A$5:$A$504,"&lt;="&amp;EOMONTH(SETUP!$B$8,2))-SUMIFS(JOURNAL!$J$5:$J$504,JOURNAL!$C$5:$C$504,$A17,JOURNAL!$A$5:$A$504,"&gt;="&amp;DATE(YEAR(SETUP!$B$8),MONTH(SETUP!$B$8)+2,1),JOURNAL!$A$5:$A$504,"&lt;="&amp;EOMONTH(SETUP!$B$8,2))</f>
        <v/>
      </c>
      <c r="F17" s="15">
        <f>SUMIFS(JOURNAL!$I$5:$I$504,JOURNAL!$C$5:$C$504,$A17,JOURNAL!$A$5:$A$504,"&gt;="&amp;DATE(YEAR(SETUP!$B$8),MONTH(SETUP!$B$8)+3,1),JOURNAL!$A$5:$A$504,"&lt;="&amp;EOMONTH(SETUP!$B$8,3))-SUMIFS(JOURNAL!$J$5:$J$504,JOURNAL!$C$5:$C$504,$A17,JOURNAL!$A$5:$A$504,"&gt;="&amp;DATE(YEAR(SETUP!$B$8),MONTH(SETUP!$B$8)+3,1),JOURNAL!$A$5:$A$504,"&lt;="&amp;EOMONTH(SETUP!$B$8,3))</f>
        <v/>
      </c>
      <c r="G17" s="15">
        <f>SUMIFS(JOURNAL!$I$5:$I$504,JOURNAL!$C$5:$C$504,$A17,JOURNAL!$A$5:$A$504,"&gt;="&amp;DATE(YEAR(SETUP!$B$8),MONTH(SETUP!$B$8)+4,1),JOURNAL!$A$5:$A$504,"&lt;="&amp;EOMONTH(SETUP!$B$8,4))-SUMIFS(JOURNAL!$J$5:$J$504,JOURNAL!$C$5:$C$504,$A17,JOURNAL!$A$5:$A$504,"&gt;="&amp;DATE(YEAR(SETUP!$B$8),MONTH(SETUP!$B$8)+4,1),JOURNAL!$A$5:$A$504,"&lt;="&amp;EOMONTH(SETUP!$B$8,4))</f>
        <v/>
      </c>
      <c r="H17" s="15">
        <f>SUMIFS(JOURNAL!$I$5:$I$504,JOURNAL!$C$5:$C$504,$A17,JOURNAL!$A$5:$A$504,"&gt;="&amp;DATE(YEAR(SETUP!$B$8),MONTH(SETUP!$B$8)+5,1),JOURNAL!$A$5:$A$504,"&lt;="&amp;EOMONTH(SETUP!$B$8,5))-SUMIFS(JOURNAL!$J$5:$J$504,JOURNAL!$C$5:$C$504,$A17,JOURNAL!$A$5:$A$504,"&gt;="&amp;DATE(YEAR(SETUP!$B$8),MONTH(SETUP!$B$8)+5,1),JOURNAL!$A$5:$A$504,"&lt;="&amp;EOMONTH(SETUP!$B$8,5))</f>
        <v/>
      </c>
      <c r="I17" s="15">
        <f>SUMIFS(JOURNAL!$I$5:$I$504,JOURNAL!$C$5:$C$504,$A17,JOURNAL!$A$5:$A$504,"&gt;="&amp;DATE(YEAR(SETUP!$B$8),MONTH(SETUP!$B$8)+6,1),JOURNAL!$A$5:$A$504,"&lt;="&amp;EOMONTH(SETUP!$B$8,6))-SUMIFS(JOURNAL!$J$5:$J$504,JOURNAL!$C$5:$C$504,$A17,JOURNAL!$A$5:$A$504,"&gt;="&amp;DATE(YEAR(SETUP!$B$8),MONTH(SETUP!$B$8)+6,1),JOURNAL!$A$5:$A$504,"&lt;="&amp;EOMONTH(SETUP!$B$8,6))</f>
        <v/>
      </c>
      <c r="J17" s="15">
        <f>SUMIFS(JOURNAL!$I$5:$I$504,JOURNAL!$C$5:$C$504,$A17,JOURNAL!$A$5:$A$504,"&gt;="&amp;DATE(YEAR(SETUP!$B$8),MONTH(SETUP!$B$8)+7,1),JOURNAL!$A$5:$A$504,"&lt;="&amp;EOMONTH(SETUP!$B$8,7))-SUMIFS(JOURNAL!$J$5:$J$504,JOURNAL!$C$5:$C$504,$A17,JOURNAL!$A$5:$A$504,"&gt;="&amp;DATE(YEAR(SETUP!$B$8),MONTH(SETUP!$B$8)+7,1),JOURNAL!$A$5:$A$504,"&lt;="&amp;EOMONTH(SETUP!$B$8,7))</f>
        <v/>
      </c>
      <c r="K17" s="15">
        <f>SUMIFS(JOURNAL!$I$5:$I$504,JOURNAL!$C$5:$C$504,$A17,JOURNAL!$A$5:$A$504,"&gt;="&amp;DATE(YEAR(SETUP!$B$8),MONTH(SETUP!$B$8)+8,1),JOURNAL!$A$5:$A$504,"&lt;="&amp;EOMONTH(SETUP!$B$8,8))-SUMIFS(JOURNAL!$J$5:$J$504,JOURNAL!$C$5:$C$504,$A17,JOURNAL!$A$5:$A$504,"&gt;="&amp;DATE(YEAR(SETUP!$B$8),MONTH(SETUP!$B$8)+8,1),JOURNAL!$A$5:$A$504,"&lt;="&amp;EOMONTH(SETUP!$B$8,8))</f>
        <v/>
      </c>
      <c r="L17" s="15">
        <f>SUMIFS(JOURNAL!$I$5:$I$504,JOURNAL!$C$5:$C$504,$A17,JOURNAL!$A$5:$A$504,"&gt;="&amp;DATE(YEAR(SETUP!$B$8),MONTH(SETUP!$B$8)+9,1),JOURNAL!$A$5:$A$504,"&lt;="&amp;EOMONTH(SETUP!$B$8,9))-SUMIFS(JOURNAL!$J$5:$J$504,JOURNAL!$C$5:$C$504,$A17,JOURNAL!$A$5:$A$504,"&gt;="&amp;DATE(YEAR(SETUP!$B$8),MONTH(SETUP!$B$8)+9,1),JOURNAL!$A$5:$A$504,"&lt;="&amp;EOMONTH(SETUP!$B$8,9))</f>
        <v/>
      </c>
      <c r="M17" s="15">
        <f>SUMIFS(JOURNAL!$I$5:$I$504,JOURNAL!$C$5:$C$504,$A17,JOURNAL!$A$5:$A$504,"&gt;="&amp;DATE(YEAR(SETUP!$B$8),MONTH(SETUP!$B$8)+10,1),JOURNAL!$A$5:$A$504,"&lt;="&amp;EOMONTH(SETUP!$B$8,10))-SUMIFS(JOURNAL!$J$5:$J$504,JOURNAL!$C$5:$C$504,$A17,JOURNAL!$A$5:$A$504,"&gt;="&amp;DATE(YEAR(SETUP!$B$8),MONTH(SETUP!$B$8)+10,1),JOURNAL!$A$5:$A$504,"&lt;="&amp;EOMONTH(SETUP!$B$8,10))</f>
        <v/>
      </c>
      <c r="N17" s="15">
        <f>SUMIFS(JOURNAL!$I$5:$I$504,JOURNAL!$C$5:$C$504,$A17,JOURNAL!$A$5:$A$504,"&gt;="&amp;DATE(YEAR(SETUP!$B$8),MONTH(SETUP!$B$8)+11,1),JOURNAL!$A$5:$A$504,"&lt;="&amp;EOMONTH(SETUP!$B$8,11))-SUMIFS(JOURNAL!$J$5:$J$504,JOURNAL!$C$5:$C$504,$A17,JOURNAL!$A$5:$A$504,"&gt;="&amp;DATE(YEAR(SETUP!$B$8),MONTH(SETUP!$B$8)+11,1),JOURNAL!$A$5:$A$504,"&lt;="&amp;EOMONTH(SETUP!$B$8,11))</f>
        <v/>
      </c>
      <c r="O17" s="16">
        <f>SUM(C17:N17)</f>
        <v/>
      </c>
    </row>
    <row r="18">
      <c r="A18" t="inlineStr">
        <is>
          <t>2200</t>
        </is>
      </c>
      <c r="B18" t="inlineStr">
        <is>
          <t>Output VAT payable</t>
        </is>
      </c>
      <c r="C18" s="15">
        <f>SUMIFS(JOURNAL!$I$5:$I$504,JOURNAL!$C$5:$C$504,$A18,JOURNAL!$A$5:$A$504,"&gt;="&amp;DATE(YEAR(SETUP!$B$8),MONTH(SETUP!$B$8)+0,1),JOURNAL!$A$5:$A$504,"&lt;="&amp;EOMONTH(SETUP!$B$8,0))-SUMIFS(JOURNAL!$J$5:$J$504,JOURNAL!$C$5:$C$504,$A18,JOURNAL!$A$5:$A$504,"&gt;="&amp;DATE(YEAR(SETUP!$B$8),MONTH(SETUP!$B$8)+0,1),JOURNAL!$A$5:$A$504,"&lt;="&amp;EOMONTH(SETUP!$B$8,0))</f>
        <v/>
      </c>
      <c r="D18" s="15">
        <f>SUMIFS(JOURNAL!$I$5:$I$504,JOURNAL!$C$5:$C$504,$A18,JOURNAL!$A$5:$A$504,"&gt;="&amp;DATE(YEAR(SETUP!$B$8),MONTH(SETUP!$B$8)+1,1),JOURNAL!$A$5:$A$504,"&lt;="&amp;EOMONTH(SETUP!$B$8,1))-SUMIFS(JOURNAL!$J$5:$J$504,JOURNAL!$C$5:$C$504,$A18,JOURNAL!$A$5:$A$504,"&gt;="&amp;DATE(YEAR(SETUP!$B$8),MONTH(SETUP!$B$8)+1,1),JOURNAL!$A$5:$A$504,"&lt;="&amp;EOMONTH(SETUP!$B$8,1))</f>
        <v/>
      </c>
      <c r="E18" s="15">
        <f>SUMIFS(JOURNAL!$I$5:$I$504,JOURNAL!$C$5:$C$504,$A18,JOURNAL!$A$5:$A$504,"&gt;="&amp;DATE(YEAR(SETUP!$B$8),MONTH(SETUP!$B$8)+2,1),JOURNAL!$A$5:$A$504,"&lt;="&amp;EOMONTH(SETUP!$B$8,2))-SUMIFS(JOURNAL!$J$5:$J$504,JOURNAL!$C$5:$C$504,$A18,JOURNAL!$A$5:$A$504,"&gt;="&amp;DATE(YEAR(SETUP!$B$8),MONTH(SETUP!$B$8)+2,1),JOURNAL!$A$5:$A$504,"&lt;="&amp;EOMONTH(SETUP!$B$8,2))</f>
        <v/>
      </c>
      <c r="F18" s="15">
        <f>SUMIFS(JOURNAL!$I$5:$I$504,JOURNAL!$C$5:$C$504,$A18,JOURNAL!$A$5:$A$504,"&gt;="&amp;DATE(YEAR(SETUP!$B$8),MONTH(SETUP!$B$8)+3,1),JOURNAL!$A$5:$A$504,"&lt;="&amp;EOMONTH(SETUP!$B$8,3))-SUMIFS(JOURNAL!$J$5:$J$504,JOURNAL!$C$5:$C$504,$A18,JOURNAL!$A$5:$A$504,"&gt;="&amp;DATE(YEAR(SETUP!$B$8),MONTH(SETUP!$B$8)+3,1),JOURNAL!$A$5:$A$504,"&lt;="&amp;EOMONTH(SETUP!$B$8,3))</f>
        <v/>
      </c>
      <c r="G18" s="15">
        <f>SUMIFS(JOURNAL!$I$5:$I$504,JOURNAL!$C$5:$C$504,$A18,JOURNAL!$A$5:$A$504,"&gt;="&amp;DATE(YEAR(SETUP!$B$8),MONTH(SETUP!$B$8)+4,1),JOURNAL!$A$5:$A$504,"&lt;="&amp;EOMONTH(SETUP!$B$8,4))-SUMIFS(JOURNAL!$J$5:$J$504,JOURNAL!$C$5:$C$504,$A18,JOURNAL!$A$5:$A$504,"&gt;="&amp;DATE(YEAR(SETUP!$B$8),MONTH(SETUP!$B$8)+4,1),JOURNAL!$A$5:$A$504,"&lt;="&amp;EOMONTH(SETUP!$B$8,4))</f>
        <v/>
      </c>
      <c r="H18" s="15">
        <f>SUMIFS(JOURNAL!$I$5:$I$504,JOURNAL!$C$5:$C$504,$A18,JOURNAL!$A$5:$A$504,"&gt;="&amp;DATE(YEAR(SETUP!$B$8),MONTH(SETUP!$B$8)+5,1),JOURNAL!$A$5:$A$504,"&lt;="&amp;EOMONTH(SETUP!$B$8,5))-SUMIFS(JOURNAL!$J$5:$J$504,JOURNAL!$C$5:$C$504,$A18,JOURNAL!$A$5:$A$504,"&gt;="&amp;DATE(YEAR(SETUP!$B$8),MONTH(SETUP!$B$8)+5,1),JOURNAL!$A$5:$A$504,"&lt;="&amp;EOMONTH(SETUP!$B$8,5))</f>
        <v/>
      </c>
      <c r="I18" s="15">
        <f>SUMIFS(JOURNAL!$I$5:$I$504,JOURNAL!$C$5:$C$504,$A18,JOURNAL!$A$5:$A$504,"&gt;="&amp;DATE(YEAR(SETUP!$B$8),MONTH(SETUP!$B$8)+6,1),JOURNAL!$A$5:$A$504,"&lt;="&amp;EOMONTH(SETUP!$B$8,6))-SUMIFS(JOURNAL!$J$5:$J$504,JOURNAL!$C$5:$C$504,$A18,JOURNAL!$A$5:$A$504,"&gt;="&amp;DATE(YEAR(SETUP!$B$8),MONTH(SETUP!$B$8)+6,1),JOURNAL!$A$5:$A$504,"&lt;="&amp;EOMONTH(SETUP!$B$8,6))</f>
        <v/>
      </c>
      <c r="J18" s="15">
        <f>SUMIFS(JOURNAL!$I$5:$I$504,JOURNAL!$C$5:$C$504,$A18,JOURNAL!$A$5:$A$504,"&gt;="&amp;DATE(YEAR(SETUP!$B$8),MONTH(SETUP!$B$8)+7,1),JOURNAL!$A$5:$A$504,"&lt;="&amp;EOMONTH(SETUP!$B$8,7))-SUMIFS(JOURNAL!$J$5:$J$504,JOURNAL!$C$5:$C$504,$A18,JOURNAL!$A$5:$A$504,"&gt;="&amp;DATE(YEAR(SETUP!$B$8),MONTH(SETUP!$B$8)+7,1),JOURNAL!$A$5:$A$504,"&lt;="&amp;EOMONTH(SETUP!$B$8,7))</f>
        <v/>
      </c>
      <c r="K18" s="15">
        <f>SUMIFS(JOURNAL!$I$5:$I$504,JOURNAL!$C$5:$C$504,$A18,JOURNAL!$A$5:$A$504,"&gt;="&amp;DATE(YEAR(SETUP!$B$8),MONTH(SETUP!$B$8)+8,1),JOURNAL!$A$5:$A$504,"&lt;="&amp;EOMONTH(SETUP!$B$8,8))-SUMIFS(JOURNAL!$J$5:$J$504,JOURNAL!$C$5:$C$504,$A18,JOURNAL!$A$5:$A$504,"&gt;="&amp;DATE(YEAR(SETUP!$B$8),MONTH(SETUP!$B$8)+8,1),JOURNAL!$A$5:$A$504,"&lt;="&amp;EOMONTH(SETUP!$B$8,8))</f>
        <v/>
      </c>
      <c r="L18" s="15">
        <f>SUMIFS(JOURNAL!$I$5:$I$504,JOURNAL!$C$5:$C$504,$A18,JOURNAL!$A$5:$A$504,"&gt;="&amp;DATE(YEAR(SETUP!$B$8),MONTH(SETUP!$B$8)+9,1),JOURNAL!$A$5:$A$504,"&lt;="&amp;EOMONTH(SETUP!$B$8,9))-SUMIFS(JOURNAL!$J$5:$J$504,JOURNAL!$C$5:$C$504,$A18,JOURNAL!$A$5:$A$504,"&gt;="&amp;DATE(YEAR(SETUP!$B$8),MONTH(SETUP!$B$8)+9,1),JOURNAL!$A$5:$A$504,"&lt;="&amp;EOMONTH(SETUP!$B$8,9))</f>
        <v/>
      </c>
      <c r="M18" s="15">
        <f>SUMIFS(JOURNAL!$I$5:$I$504,JOURNAL!$C$5:$C$504,$A18,JOURNAL!$A$5:$A$504,"&gt;="&amp;DATE(YEAR(SETUP!$B$8),MONTH(SETUP!$B$8)+10,1),JOURNAL!$A$5:$A$504,"&lt;="&amp;EOMONTH(SETUP!$B$8,10))-SUMIFS(JOURNAL!$J$5:$J$504,JOURNAL!$C$5:$C$504,$A18,JOURNAL!$A$5:$A$504,"&gt;="&amp;DATE(YEAR(SETUP!$B$8),MONTH(SETUP!$B$8)+10,1),JOURNAL!$A$5:$A$504,"&lt;="&amp;EOMONTH(SETUP!$B$8,10))</f>
        <v/>
      </c>
      <c r="N18" s="15">
        <f>SUMIFS(JOURNAL!$I$5:$I$504,JOURNAL!$C$5:$C$504,$A18,JOURNAL!$A$5:$A$504,"&gt;="&amp;DATE(YEAR(SETUP!$B$8),MONTH(SETUP!$B$8)+11,1),JOURNAL!$A$5:$A$504,"&lt;="&amp;EOMONTH(SETUP!$B$8,11))-SUMIFS(JOURNAL!$J$5:$J$504,JOURNAL!$C$5:$C$504,$A18,JOURNAL!$A$5:$A$504,"&gt;="&amp;DATE(YEAR(SETUP!$B$8),MONTH(SETUP!$B$8)+11,1),JOURNAL!$A$5:$A$504,"&lt;="&amp;EOMONTH(SETUP!$B$8,11))</f>
        <v/>
      </c>
      <c r="O18" s="16">
        <f>SUM(C18:N18)</f>
        <v/>
      </c>
    </row>
    <row r="19">
      <c r="A19" t="inlineStr">
        <is>
          <t>2210</t>
        </is>
      </c>
      <c r="B19" t="inlineStr">
        <is>
          <t>Excise duty payable</t>
        </is>
      </c>
      <c r="C19" s="15">
        <f>SUMIFS(JOURNAL!$I$5:$I$504,JOURNAL!$C$5:$C$504,$A19,JOURNAL!$A$5:$A$504,"&gt;="&amp;DATE(YEAR(SETUP!$B$8),MONTH(SETUP!$B$8)+0,1),JOURNAL!$A$5:$A$504,"&lt;="&amp;EOMONTH(SETUP!$B$8,0))-SUMIFS(JOURNAL!$J$5:$J$504,JOURNAL!$C$5:$C$504,$A19,JOURNAL!$A$5:$A$504,"&gt;="&amp;DATE(YEAR(SETUP!$B$8),MONTH(SETUP!$B$8)+0,1),JOURNAL!$A$5:$A$504,"&lt;="&amp;EOMONTH(SETUP!$B$8,0))</f>
        <v/>
      </c>
      <c r="D19" s="15">
        <f>SUMIFS(JOURNAL!$I$5:$I$504,JOURNAL!$C$5:$C$504,$A19,JOURNAL!$A$5:$A$504,"&gt;="&amp;DATE(YEAR(SETUP!$B$8),MONTH(SETUP!$B$8)+1,1),JOURNAL!$A$5:$A$504,"&lt;="&amp;EOMONTH(SETUP!$B$8,1))-SUMIFS(JOURNAL!$J$5:$J$504,JOURNAL!$C$5:$C$504,$A19,JOURNAL!$A$5:$A$504,"&gt;="&amp;DATE(YEAR(SETUP!$B$8),MONTH(SETUP!$B$8)+1,1),JOURNAL!$A$5:$A$504,"&lt;="&amp;EOMONTH(SETUP!$B$8,1))</f>
        <v/>
      </c>
      <c r="E19" s="15">
        <f>SUMIFS(JOURNAL!$I$5:$I$504,JOURNAL!$C$5:$C$504,$A19,JOURNAL!$A$5:$A$504,"&gt;="&amp;DATE(YEAR(SETUP!$B$8),MONTH(SETUP!$B$8)+2,1),JOURNAL!$A$5:$A$504,"&lt;="&amp;EOMONTH(SETUP!$B$8,2))-SUMIFS(JOURNAL!$J$5:$J$504,JOURNAL!$C$5:$C$504,$A19,JOURNAL!$A$5:$A$504,"&gt;="&amp;DATE(YEAR(SETUP!$B$8),MONTH(SETUP!$B$8)+2,1),JOURNAL!$A$5:$A$504,"&lt;="&amp;EOMONTH(SETUP!$B$8,2))</f>
        <v/>
      </c>
      <c r="F19" s="15">
        <f>SUMIFS(JOURNAL!$I$5:$I$504,JOURNAL!$C$5:$C$504,$A19,JOURNAL!$A$5:$A$504,"&gt;="&amp;DATE(YEAR(SETUP!$B$8),MONTH(SETUP!$B$8)+3,1),JOURNAL!$A$5:$A$504,"&lt;="&amp;EOMONTH(SETUP!$B$8,3))-SUMIFS(JOURNAL!$J$5:$J$504,JOURNAL!$C$5:$C$504,$A19,JOURNAL!$A$5:$A$504,"&gt;="&amp;DATE(YEAR(SETUP!$B$8),MONTH(SETUP!$B$8)+3,1),JOURNAL!$A$5:$A$504,"&lt;="&amp;EOMONTH(SETUP!$B$8,3))</f>
        <v/>
      </c>
      <c r="G19" s="15">
        <f>SUMIFS(JOURNAL!$I$5:$I$504,JOURNAL!$C$5:$C$504,$A19,JOURNAL!$A$5:$A$504,"&gt;="&amp;DATE(YEAR(SETUP!$B$8),MONTH(SETUP!$B$8)+4,1),JOURNAL!$A$5:$A$504,"&lt;="&amp;EOMONTH(SETUP!$B$8,4))-SUMIFS(JOURNAL!$J$5:$J$504,JOURNAL!$C$5:$C$504,$A19,JOURNAL!$A$5:$A$504,"&gt;="&amp;DATE(YEAR(SETUP!$B$8),MONTH(SETUP!$B$8)+4,1),JOURNAL!$A$5:$A$504,"&lt;="&amp;EOMONTH(SETUP!$B$8,4))</f>
        <v/>
      </c>
      <c r="H19" s="15">
        <f>SUMIFS(JOURNAL!$I$5:$I$504,JOURNAL!$C$5:$C$504,$A19,JOURNAL!$A$5:$A$504,"&gt;="&amp;DATE(YEAR(SETUP!$B$8),MONTH(SETUP!$B$8)+5,1),JOURNAL!$A$5:$A$504,"&lt;="&amp;EOMONTH(SETUP!$B$8,5))-SUMIFS(JOURNAL!$J$5:$J$504,JOURNAL!$C$5:$C$504,$A19,JOURNAL!$A$5:$A$504,"&gt;="&amp;DATE(YEAR(SETUP!$B$8),MONTH(SETUP!$B$8)+5,1),JOURNAL!$A$5:$A$504,"&lt;="&amp;EOMONTH(SETUP!$B$8,5))</f>
        <v/>
      </c>
      <c r="I19" s="15">
        <f>SUMIFS(JOURNAL!$I$5:$I$504,JOURNAL!$C$5:$C$504,$A19,JOURNAL!$A$5:$A$504,"&gt;="&amp;DATE(YEAR(SETUP!$B$8),MONTH(SETUP!$B$8)+6,1),JOURNAL!$A$5:$A$504,"&lt;="&amp;EOMONTH(SETUP!$B$8,6))-SUMIFS(JOURNAL!$J$5:$J$504,JOURNAL!$C$5:$C$504,$A19,JOURNAL!$A$5:$A$504,"&gt;="&amp;DATE(YEAR(SETUP!$B$8),MONTH(SETUP!$B$8)+6,1),JOURNAL!$A$5:$A$504,"&lt;="&amp;EOMONTH(SETUP!$B$8,6))</f>
        <v/>
      </c>
      <c r="J19" s="15">
        <f>SUMIFS(JOURNAL!$I$5:$I$504,JOURNAL!$C$5:$C$504,$A19,JOURNAL!$A$5:$A$504,"&gt;="&amp;DATE(YEAR(SETUP!$B$8),MONTH(SETUP!$B$8)+7,1),JOURNAL!$A$5:$A$504,"&lt;="&amp;EOMONTH(SETUP!$B$8,7))-SUMIFS(JOURNAL!$J$5:$J$504,JOURNAL!$C$5:$C$504,$A19,JOURNAL!$A$5:$A$504,"&gt;="&amp;DATE(YEAR(SETUP!$B$8),MONTH(SETUP!$B$8)+7,1),JOURNAL!$A$5:$A$504,"&lt;="&amp;EOMONTH(SETUP!$B$8,7))</f>
        <v/>
      </c>
      <c r="K19" s="15">
        <f>SUMIFS(JOURNAL!$I$5:$I$504,JOURNAL!$C$5:$C$504,$A19,JOURNAL!$A$5:$A$504,"&gt;="&amp;DATE(YEAR(SETUP!$B$8),MONTH(SETUP!$B$8)+8,1),JOURNAL!$A$5:$A$504,"&lt;="&amp;EOMONTH(SETUP!$B$8,8))-SUMIFS(JOURNAL!$J$5:$J$504,JOURNAL!$C$5:$C$504,$A19,JOURNAL!$A$5:$A$504,"&gt;="&amp;DATE(YEAR(SETUP!$B$8),MONTH(SETUP!$B$8)+8,1),JOURNAL!$A$5:$A$504,"&lt;="&amp;EOMONTH(SETUP!$B$8,8))</f>
        <v/>
      </c>
      <c r="L19" s="15">
        <f>SUMIFS(JOURNAL!$I$5:$I$504,JOURNAL!$C$5:$C$504,$A19,JOURNAL!$A$5:$A$504,"&gt;="&amp;DATE(YEAR(SETUP!$B$8),MONTH(SETUP!$B$8)+9,1),JOURNAL!$A$5:$A$504,"&lt;="&amp;EOMONTH(SETUP!$B$8,9))-SUMIFS(JOURNAL!$J$5:$J$504,JOURNAL!$C$5:$C$504,$A19,JOURNAL!$A$5:$A$504,"&gt;="&amp;DATE(YEAR(SETUP!$B$8),MONTH(SETUP!$B$8)+9,1),JOURNAL!$A$5:$A$504,"&lt;="&amp;EOMONTH(SETUP!$B$8,9))</f>
        <v/>
      </c>
      <c r="M19" s="15">
        <f>SUMIFS(JOURNAL!$I$5:$I$504,JOURNAL!$C$5:$C$504,$A19,JOURNAL!$A$5:$A$504,"&gt;="&amp;DATE(YEAR(SETUP!$B$8),MONTH(SETUP!$B$8)+10,1),JOURNAL!$A$5:$A$504,"&lt;="&amp;EOMONTH(SETUP!$B$8,10))-SUMIFS(JOURNAL!$J$5:$J$504,JOURNAL!$C$5:$C$504,$A19,JOURNAL!$A$5:$A$504,"&gt;="&amp;DATE(YEAR(SETUP!$B$8),MONTH(SETUP!$B$8)+10,1),JOURNAL!$A$5:$A$504,"&lt;="&amp;EOMONTH(SETUP!$B$8,10))</f>
        <v/>
      </c>
      <c r="N19" s="15">
        <f>SUMIFS(JOURNAL!$I$5:$I$504,JOURNAL!$C$5:$C$504,$A19,JOURNAL!$A$5:$A$504,"&gt;="&amp;DATE(YEAR(SETUP!$B$8),MONTH(SETUP!$B$8)+11,1),JOURNAL!$A$5:$A$504,"&lt;="&amp;EOMONTH(SETUP!$B$8,11))-SUMIFS(JOURNAL!$J$5:$J$504,JOURNAL!$C$5:$C$504,$A19,JOURNAL!$A$5:$A$504,"&gt;="&amp;DATE(YEAR(SETUP!$B$8),MONTH(SETUP!$B$8)+11,1),JOURNAL!$A$5:$A$504,"&lt;="&amp;EOMONTH(SETUP!$B$8,11))</f>
        <v/>
      </c>
      <c r="O19" s="16">
        <f>SUM(C19:N19)</f>
        <v/>
      </c>
    </row>
    <row r="20">
      <c r="A20" t="inlineStr">
        <is>
          <t>2220</t>
        </is>
      </c>
      <c r="B20" t="inlineStr">
        <is>
          <t>Digital tax stamps payable</t>
        </is>
      </c>
      <c r="C20" s="15">
        <f>SUMIFS(JOURNAL!$I$5:$I$504,JOURNAL!$C$5:$C$504,$A20,JOURNAL!$A$5:$A$504,"&gt;="&amp;DATE(YEAR(SETUP!$B$8),MONTH(SETUP!$B$8)+0,1),JOURNAL!$A$5:$A$504,"&lt;="&amp;EOMONTH(SETUP!$B$8,0))-SUMIFS(JOURNAL!$J$5:$J$504,JOURNAL!$C$5:$C$504,$A20,JOURNAL!$A$5:$A$504,"&gt;="&amp;DATE(YEAR(SETUP!$B$8),MONTH(SETUP!$B$8)+0,1),JOURNAL!$A$5:$A$504,"&lt;="&amp;EOMONTH(SETUP!$B$8,0))</f>
        <v/>
      </c>
      <c r="D20" s="15">
        <f>SUMIFS(JOURNAL!$I$5:$I$504,JOURNAL!$C$5:$C$504,$A20,JOURNAL!$A$5:$A$504,"&gt;="&amp;DATE(YEAR(SETUP!$B$8),MONTH(SETUP!$B$8)+1,1),JOURNAL!$A$5:$A$504,"&lt;="&amp;EOMONTH(SETUP!$B$8,1))-SUMIFS(JOURNAL!$J$5:$J$504,JOURNAL!$C$5:$C$504,$A20,JOURNAL!$A$5:$A$504,"&gt;="&amp;DATE(YEAR(SETUP!$B$8),MONTH(SETUP!$B$8)+1,1),JOURNAL!$A$5:$A$504,"&lt;="&amp;EOMONTH(SETUP!$B$8,1))</f>
        <v/>
      </c>
      <c r="E20" s="15">
        <f>SUMIFS(JOURNAL!$I$5:$I$504,JOURNAL!$C$5:$C$504,$A20,JOURNAL!$A$5:$A$504,"&gt;="&amp;DATE(YEAR(SETUP!$B$8),MONTH(SETUP!$B$8)+2,1),JOURNAL!$A$5:$A$504,"&lt;="&amp;EOMONTH(SETUP!$B$8,2))-SUMIFS(JOURNAL!$J$5:$J$504,JOURNAL!$C$5:$C$504,$A20,JOURNAL!$A$5:$A$504,"&gt;="&amp;DATE(YEAR(SETUP!$B$8),MONTH(SETUP!$B$8)+2,1),JOURNAL!$A$5:$A$504,"&lt;="&amp;EOMONTH(SETUP!$B$8,2))</f>
        <v/>
      </c>
      <c r="F20" s="15">
        <f>SUMIFS(JOURNAL!$I$5:$I$504,JOURNAL!$C$5:$C$504,$A20,JOURNAL!$A$5:$A$504,"&gt;="&amp;DATE(YEAR(SETUP!$B$8),MONTH(SETUP!$B$8)+3,1),JOURNAL!$A$5:$A$504,"&lt;="&amp;EOMONTH(SETUP!$B$8,3))-SUMIFS(JOURNAL!$J$5:$J$504,JOURNAL!$C$5:$C$504,$A20,JOURNAL!$A$5:$A$504,"&gt;="&amp;DATE(YEAR(SETUP!$B$8),MONTH(SETUP!$B$8)+3,1),JOURNAL!$A$5:$A$504,"&lt;="&amp;EOMONTH(SETUP!$B$8,3))</f>
        <v/>
      </c>
      <c r="G20" s="15">
        <f>SUMIFS(JOURNAL!$I$5:$I$504,JOURNAL!$C$5:$C$504,$A20,JOURNAL!$A$5:$A$504,"&gt;="&amp;DATE(YEAR(SETUP!$B$8),MONTH(SETUP!$B$8)+4,1),JOURNAL!$A$5:$A$504,"&lt;="&amp;EOMONTH(SETUP!$B$8,4))-SUMIFS(JOURNAL!$J$5:$J$504,JOURNAL!$C$5:$C$504,$A20,JOURNAL!$A$5:$A$504,"&gt;="&amp;DATE(YEAR(SETUP!$B$8),MONTH(SETUP!$B$8)+4,1),JOURNAL!$A$5:$A$504,"&lt;="&amp;EOMONTH(SETUP!$B$8,4))</f>
        <v/>
      </c>
      <c r="H20" s="15">
        <f>SUMIFS(JOURNAL!$I$5:$I$504,JOURNAL!$C$5:$C$504,$A20,JOURNAL!$A$5:$A$504,"&gt;="&amp;DATE(YEAR(SETUP!$B$8),MONTH(SETUP!$B$8)+5,1),JOURNAL!$A$5:$A$504,"&lt;="&amp;EOMONTH(SETUP!$B$8,5))-SUMIFS(JOURNAL!$J$5:$J$504,JOURNAL!$C$5:$C$504,$A20,JOURNAL!$A$5:$A$504,"&gt;="&amp;DATE(YEAR(SETUP!$B$8),MONTH(SETUP!$B$8)+5,1),JOURNAL!$A$5:$A$504,"&lt;="&amp;EOMONTH(SETUP!$B$8,5))</f>
        <v/>
      </c>
      <c r="I20" s="15">
        <f>SUMIFS(JOURNAL!$I$5:$I$504,JOURNAL!$C$5:$C$504,$A20,JOURNAL!$A$5:$A$504,"&gt;="&amp;DATE(YEAR(SETUP!$B$8),MONTH(SETUP!$B$8)+6,1),JOURNAL!$A$5:$A$504,"&lt;="&amp;EOMONTH(SETUP!$B$8,6))-SUMIFS(JOURNAL!$J$5:$J$504,JOURNAL!$C$5:$C$504,$A20,JOURNAL!$A$5:$A$504,"&gt;="&amp;DATE(YEAR(SETUP!$B$8),MONTH(SETUP!$B$8)+6,1),JOURNAL!$A$5:$A$504,"&lt;="&amp;EOMONTH(SETUP!$B$8,6))</f>
        <v/>
      </c>
      <c r="J20" s="15">
        <f>SUMIFS(JOURNAL!$I$5:$I$504,JOURNAL!$C$5:$C$504,$A20,JOURNAL!$A$5:$A$504,"&gt;="&amp;DATE(YEAR(SETUP!$B$8),MONTH(SETUP!$B$8)+7,1),JOURNAL!$A$5:$A$504,"&lt;="&amp;EOMONTH(SETUP!$B$8,7))-SUMIFS(JOURNAL!$J$5:$J$504,JOURNAL!$C$5:$C$504,$A20,JOURNAL!$A$5:$A$504,"&gt;="&amp;DATE(YEAR(SETUP!$B$8),MONTH(SETUP!$B$8)+7,1),JOURNAL!$A$5:$A$504,"&lt;="&amp;EOMONTH(SETUP!$B$8,7))</f>
        <v/>
      </c>
      <c r="K20" s="15">
        <f>SUMIFS(JOURNAL!$I$5:$I$504,JOURNAL!$C$5:$C$504,$A20,JOURNAL!$A$5:$A$504,"&gt;="&amp;DATE(YEAR(SETUP!$B$8),MONTH(SETUP!$B$8)+8,1),JOURNAL!$A$5:$A$504,"&lt;="&amp;EOMONTH(SETUP!$B$8,8))-SUMIFS(JOURNAL!$J$5:$J$504,JOURNAL!$C$5:$C$504,$A20,JOURNAL!$A$5:$A$504,"&gt;="&amp;DATE(YEAR(SETUP!$B$8),MONTH(SETUP!$B$8)+8,1),JOURNAL!$A$5:$A$504,"&lt;="&amp;EOMONTH(SETUP!$B$8,8))</f>
        <v/>
      </c>
      <c r="L20" s="15">
        <f>SUMIFS(JOURNAL!$I$5:$I$504,JOURNAL!$C$5:$C$504,$A20,JOURNAL!$A$5:$A$504,"&gt;="&amp;DATE(YEAR(SETUP!$B$8),MONTH(SETUP!$B$8)+9,1),JOURNAL!$A$5:$A$504,"&lt;="&amp;EOMONTH(SETUP!$B$8,9))-SUMIFS(JOURNAL!$J$5:$J$504,JOURNAL!$C$5:$C$504,$A20,JOURNAL!$A$5:$A$504,"&gt;="&amp;DATE(YEAR(SETUP!$B$8),MONTH(SETUP!$B$8)+9,1),JOURNAL!$A$5:$A$504,"&lt;="&amp;EOMONTH(SETUP!$B$8,9))</f>
        <v/>
      </c>
      <c r="M20" s="15">
        <f>SUMIFS(JOURNAL!$I$5:$I$504,JOURNAL!$C$5:$C$504,$A20,JOURNAL!$A$5:$A$504,"&gt;="&amp;DATE(YEAR(SETUP!$B$8),MONTH(SETUP!$B$8)+10,1),JOURNAL!$A$5:$A$504,"&lt;="&amp;EOMONTH(SETUP!$B$8,10))-SUMIFS(JOURNAL!$J$5:$J$504,JOURNAL!$C$5:$C$504,$A20,JOURNAL!$A$5:$A$504,"&gt;="&amp;DATE(YEAR(SETUP!$B$8),MONTH(SETUP!$B$8)+10,1),JOURNAL!$A$5:$A$504,"&lt;="&amp;EOMONTH(SETUP!$B$8,10))</f>
        <v/>
      </c>
      <c r="N20" s="15">
        <f>SUMIFS(JOURNAL!$I$5:$I$504,JOURNAL!$C$5:$C$504,$A20,JOURNAL!$A$5:$A$504,"&gt;="&amp;DATE(YEAR(SETUP!$B$8),MONTH(SETUP!$B$8)+11,1),JOURNAL!$A$5:$A$504,"&lt;="&amp;EOMONTH(SETUP!$B$8,11))-SUMIFS(JOURNAL!$J$5:$J$504,JOURNAL!$C$5:$C$504,$A20,JOURNAL!$A$5:$A$504,"&gt;="&amp;DATE(YEAR(SETUP!$B$8),MONTH(SETUP!$B$8)+11,1),JOURNAL!$A$5:$A$504,"&lt;="&amp;EOMONTH(SETUP!$B$8,11))</f>
        <v/>
      </c>
      <c r="O20" s="16">
        <f>SUM(C20:N20)</f>
        <v/>
      </c>
    </row>
    <row r="21">
      <c r="A21" t="inlineStr">
        <is>
          <t>2300</t>
        </is>
      </c>
      <c r="B21" t="inlineStr">
        <is>
          <t>PAYE payable</t>
        </is>
      </c>
      <c r="C21" s="15">
        <f>SUMIFS(JOURNAL!$I$5:$I$504,JOURNAL!$C$5:$C$504,$A21,JOURNAL!$A$5:$A$504,"&gt;="&amp;DATE(YEAR(SETUP!$B$8),MONTH(SETUP!$B$8)+0,1),JOURNAL!$A$5:$A$504,"&lt;="&amp;EOMONTH(SETUP!$B$8,0))-SUMIFS(JOURNAL!$J$5:$J$504,JOURNAL!$C$5:$C$504,$A21,JOURNAL!$A$5:$A$504,"&gt;="&amp;DATE(YEAR(SETUP!$B$8),MONTH(SETUP!$B$8)+0,1),JOURNAL!$A$5:$A$504,"&lt;="&amp;EOMONTH(SETUP!$B$8,0))</f>
        <v/>
      </c>
      <c r="D21" s="15">
        <f>SUMIFS(JOURNAL!$I$5:$I$504,JOURNAL!$C$5:$C$504,$A21,JOURNAL!$A$5:$A$504,"&gt;="&amp;DATE(YEAR(SETUP!$B$8),MONTH(SETUP!$B$8)+1,1),JOURNAL!$A$5:$A$504,"&lt;="&amp;EOMONTH(SETUP!$B$8,1))-SUMIFS(JOURNAL!$J$5:$J$504,JOURNAL!$C$5:$C$504,$A21,JOURNAL!$A$5:$A$504,"&gt;="&amp;DATE(YEAR(SETUP!$B$8),MONTH(SETUP!$B$8)+1,1),JOURNAL!$A$5:$A$504,"&lt;="&amp;EOMONTH(SETUP!$B$8,1))</f>
        <v/>
      </c>
      <c r="E21" s="15">
        <f>SUMIFS(JOURNAL!$I$5:$I$504,JOURNAL!$C$5:$C$504,$A21,JOURNAL!$A$5:$A$504,"&gt;="&amp;DATE(YEAR(SETUP!$B$8),MONTH(SETUP!$B$8)+2,1),JOURNAL!$A$5:$A$504,"&lt;="&amp;EOMONTH(SETUP!$B$8,2))-SUMIFS(JOURNAL!$J$5:$J$504,JOURNAL!$C$5:$C$504,$A21,JOURNAL!$A$5:$A$504,"&gt;="&amp;DATE(YEAR(SETUP!$B$8),MONTH(SETUP!$B$8)+2,1),JOURNAL!$A$5:$A$504,"&lt;="&amp;EOMONTH(SETUP!$B$8,2))</f>
        <v/>
      </c>
      <c r="F21" s="15">
        <f>SUMIFS(JOURNAL!$I$5:$I$504,JOURNAL!$C$5:$C$504,$A21,JOURNAL!$A$5:$A$504,"&gt;="&amp;DATE(YEAR(SETUP!$B$8),MONTH(SETUP!$B$8)+3,1),JOURNAL!$A$5:$A$504,"&lt;="&amp;EOMONTH(SETUP!$B$8,3))-SUMIFS(JOURNAL!$J$5:$J$504,JOURNAL!$C$5:$C$504,$A21,JOURNAL!$A$5:$A$504,"&gt;="&amp;DATE(YEAR(SETUP!$B$8),MONTH(SETUP!$B$8)+3,1),JOURNAL!$A$5:$A$504,"&lt;="&amp;EOMONTH(SETUP!$B$8,3))</f>
        <v/>
      </c>
      <c r="G21" s="15">
        <f>SUMIFS(JOURNAL!$I$5:$I$504,JOURNAL!$C$5:$C$504,$A21,JOURNAL!$A$5:$A$504,"&gt;="&amp;DATE(YEAR(SETUP!$B$8),MONTH(SETUP!$B$8)+4,1),JOURNAL!$A$5:$A$504,"&lt;="&amp;EOMONTH(SETUP!$B$8,4))-SUMIFS(JOURNAL!$J$5:$J$504,JOURNAL!$C$5:$C$504,$A21,JOURNAL!$A$5:$A$504,"&gt;="&amp;DATE(YEAR(SETUP!$B$8),MONTH(SETUP!$B$8)+4,1),JOURNAL!$A$5:$A$504,"&lt;="&amp;EOMONTH(SETUP!$B$8,4))</f>
        <v/>
      </c>
      <c r="H21" s="15">
        <f>SUMIFS(JOURNAL!$I$5:$I$504,JOURNAL!$C$5:$C$504,$A21,JOURNAL!$A$5:$A$504,"&gt;="&amp;DATE(YEAR(SETUP!$B$8),MONTH(SETUP!$B$8)+5,1),JOURNAL!$A$5:$A$504,"&lt;="&amp;EOMONTH(SETUP!$B$8,5))-SUMIFS(JOURNAL!$J$5:$J$504,JOURNAL!$C$5:$C$504,$A21,JOURNAL!$A$5:$A$504,"&gt;="&amp;DATE(YEAR(SETUP!$B$8),MONTH(SETUP!$B$8)+5,1),JOURNAL!$A$5:$A$504,"&lt;="&amp;EOMONTH(SETUP!$B$8,5))</f>
        <v/>
      </c>
      <c r="I21" s="15">
        <f>SUMIFS(JOURNAL!$I$5:$I$504,JOURNAL!$C$5:$C$504,$A21,JOURNAL!$A$5:$A$504,"&gt;="&amp;DATE(YEAR(SETUP!$B$8),MONTH(SETUP!$B$8)+6,1),JOURNAL!$A$5:$A$504,"&lt;="&amp;EOMONTH(SETUP!$B$8,6))-SUMIFS(JOURNAL!$J$5:$J$504,JOURNAL!$C$5:$C$504,$A21,JOURNAL!$A$5:$A$504,"&gt;="&amp;DATE(YEAR(SETUP!$B$8),MONTH(SETUP!$B$8)+6,1),JOURNAL!$A$5:$A$504,"&lt;="&amp;EOMONTH(SETUP!$B$8,6))</f>
        <v/>
      </c>
      <c r="J21" s="15">
        <f>SUMIFS(JOURNAL!$I$5:$I$504,JOURNAL!$C$5:$C$504,$A21,JOURNAL!$A$5:$A$504,"&gt;="&amp;DATE(YEAR(SETUP!$B$8),MONTH(SETUP!$B$8)+7,1),JOURNAL!$A$5:$A$504,"&lt;="&amp;EOMONTH(SETUP!$B$8,7))-SUMIFS(JOURNAL!$J$5:$J$504,JOURNAL!$C$5:$C$504,$A21,JOURNAL!$A$5:$A$504,"&gt;="&amp;DATE(YEAR(SETUP!$B$8),MONTH(SETUP!$B$8)+7,1),JOURNAL!$A$5:$A$504,"&lt;="&amp;EOMONTH(SETUP!$B$8,7))</f>
        <v/>
      </c>
      <c r="K21" s="15">
        <f>SUMIFS(JOURNAL!$I$5:$I$504,JOURNAL!$C$5:$C$504,$A21,JOURNAL!$A$5:$A$504,"&gt;="&amp;DATE(YEAR(SETUP!$B$8),MONTH(SETUP!$B$8)+8,1),JOURNAL!$A$5:$A$504,"&lt;="&amp;EOMONTH(SETUP!$B$8,8))-SUMIFS(JOURNAL!$J$5:$J$504,JOURNAL!$C$5:$C$504,$A21,JOURNAL!$A$5:$A$504,"&gt;="&amp;DATE(YEAR(SETUP!$B$8),MONTH(SETUP!$B$8)+8,1),JOURNAL!$A$5:$A$504,"&lt;="&amp;EOMONTH(SETUP!$B$8,8))</f>
        <v/>
      </c>
      <c r="L21" s="15">
        <f>SUMIFS(JOURNAL!$I$5:$I$504,JOURNAL!$C$5:$C$504,$A21,JOURNAL!$A$5:$A$504,"&gt;="&amp;DATE(YEAR(SETUP!$B$8),MONTH(SETUP!$B$8)+9,1),JOURNAL!$A$5:$A$504,"&lt;="&amp;EOMONTH(SETUP!$B$8,9))-SUMIFS(JOURNAL!$J$5:$J$504,JOURNAL!$C$5:$C$504,$A21,JOURNAL!$A$5:$A$504,"&gt;="&amp;DATE(YEAR(SETUP!$B$8),MONTH(SETUP!$B$8)+9,1),JOURNAL!$A$5:$A$504,"&lt;="&amp;EOMONTH(SETUP!$B$8,9))</f>
        <v/>
      </c>
      <c r="M21" s="15">
        <f>SUMIFS(JOURNAL!$I$5:$I$504,JOURNAL!$C$5:$C$504,$A21,JOURNAL!$A$5:$A$504,"&gt;="&amp;DATE(YEAR(SETUP!$B$8),MONTH(SETUP!$B$8)+10,1),JOURNAL!$A$5:$A$504,"&lt;="&amp;EOMONTH(SETUP!$B$8,10))-SUMIFS(JOURNAL!$J$5:$J$504,JOURNAL!$C$5:$C$504,$A21,JOURNAL!$A$5:$A$504,"&gt;="&amp;DATE(YEAR(SETUP!$B$8),MONTH(SETUP!$B$8)+10,1),JOURNAL!$A$5:$A$504,"&lt;="&amp;EOMONTH(SETUP!$B$8,10))</f>
        <v/>
      </c>
      <c r="N21" s="15">
        <f>SUMIFS(JOURNAL!$I$5:$I$504,JOURNAL!$C$5:$C$504,$A21,JOURNAL!$A$5:$A$504,"&gt;="&amp;DATE(YEAR(SETUP!$B$8),MONTH(SETUP!$B$8)+11,1),JOURNAL!$A$5:$A$504,"&lt;="&amp;EOMONTH(SETUP!$B$8,11))-SUMIFS(JOURNAL!$J$5:$J$504,JOURNAL!$C$5:$C$504,$A21,JOURNAL!$A$5:$A$504,"&gt;="&amp;DATE(YEAR(SETUP!$B$8),MONTH(SETUP!$B$8)+11,1),JOURNAL!$A$5:$A$504,"&lt;="&amp;EOMONTH(SETUP!$B$8,11))</f>
        <v/>
      </c>
      <c r="O21" s="16">
        <f>SUM(C21:N21)</f>
        <v/>
      </c>
    </row>
    <row r="22">
      <c r="A22" t="inlineStr">
        <is>
          <t>2310</t>
        </is>
      </c>
      <c r="B22" t="inlineStr">
        <is>
          <t>NSSF payable</t>
        </is>
      </c>
      <c r="C22" s="15">
        <f>SUMIFS(JOURNAL!$I$5:$I$504,JOURNAL!$C$5:$C$504,$A22,JOURNAL!$A$5:$A$504,"&gt;="&amp;DATE(YEAR(SETUP!$B$8),MONTH(SETUP!$B$8)+0,1),JOURNAL!$A$5:$A$504,"&lt;="&amp;EOMONTH(SETUP!$B$8,0))-SUMIFS(JOURNAL!$J$5:$J$504,JOURNAL!$C$5:$C$504,$A22,JOURNAL!$A$5:$A$504,"&gt;="&amp;DATE(YEAR(SETUP!$B$8),MONTH(SETUP!$B$8)+0,1),JOURNAL!$A$5:$A$504,"&lt;="&amp;EOMONTH(SETUP!$B$8,0))</f>
        <v/>
      </c>
      <c r="D22" s="15">
        <f>SUMIFS(JOURNAL!$I$5:$I$504,JOURNAL!$C$5:$C$504,$A22,JOURNAL!$A$5:$A$504,"&gt;="&amp;DATE(YEAR(SETUP!$B$8),MONTH(SETUP!$B$8)+1,1),JOURNAL!$A$5:$A$504,"&lt;="&amp;EOMONTH(SETUP!$B$8,1))-SUMIFS(JOURNAL!$J$5:$J$504,JOURNAL!$C$5:$C$504,$A22,JOURNAL!$A$5:$A$504,"&gt;="&amp;DATE(YEAR(SETUP!$B$8),MONTH(SETUP!$B$8)+1,1),JOURNAL!$A$5:$A$504,"&lt;="&amp;EOMONTH(SETUP!$B$8,1))</f>
        <v/>
      </c>
      <c r="E22" s="15">
        <f>SUMIFS(JOURNAL!$I$5:$I$504,JOURNAL!$C$5:$C$504,$A22,JOURNAL!$A$5:$A$504,"&gt;="&amp;DATE(YEAR(SETUP!$B$8),MONTH(SETUP!$B$8)+2,1),JOURNAL!$A$5:$A$504,"&lt;="&amp;EOMONTH(SETUP!$B$8,2))-SUMIFS(JOURNAL!$J$5:$J$504,JOURNAL!$C$5:$C$504,$A22,JOURNAL!$A$5:$A$504,"&gt;="&amp;DATE(YEAR(SETUP!$B$8),MONTH(SETUP!$B$8)+2,1),JOURNAL!$A$5:$A$504,"&lt;="&amp;EOMONTH(SETUP!$B$8,2))</f>
        <v/>
      </c>
      <c r="F22" s="15">
        <f>SUMIFS(JOURNAL!$I$5:$I$504,JOURNAL!$C$5:$C$504,$A22,JOURNAL!$A$5:$A$504,"&gt;="&amp;DATE(YEAR(SETUP!$B$8),MONTH(SETUP!$B$8)+3,1),JOURNAL!$A$5:$A$504,"&lt;="&amp;EOMONTH(SETUP!$B$8,3))-SUMIFS(JOURNAL!$J$5:$J$504,JOURNAL!$C$5:$C$504,$A22,JOURNAL!$A$5:$A$504,"&gt;="&amp;DATE(YEAR(SETUP!$B$8),MONTH(SETUP!$B$8)+3,1),JOURNAL!$A$5:$A$504,"&lt;="&amp;EOMONTH(SETUP!$B$8,3))</f>
        <v/>
      </c>
      <c r="G22" s="15">
        <f>SUMIFS(JOURNAL!$I$5:$I$504,JOURNAL!$C$5:$C$504,$A22,JOURNAL!$A$5:$A$504,"&gt;="&amp;DATE(YEAR(SETUP!$B$8),MONTH(SETUP!$B$8)+4,1),JOURNAL!$A$5:$A$504,"&lt;="&amp;EOMONTH(SETUP!$B$8,4))-SUMIFS(JOURNAL!$J$5:$J$504,JOURNAL!$C$5:$C$504,$A22,JOURNAL!$A$5:$A$504,"&gt;="&amp;DATE(YEAR(SETUP!$B$8),MONTH(SETUP!$B$8)+4,1),JOURNAL!$A$5:$A$504,"&lt;="&amp;EOMONTH(SETUP!$B$8,4))</f>
        <v/>
      </c>
      <c r="H22" s="15">
        <f>SUMIFS(JOURNAL!$I$5:$I$504,JOURNAL!$C$5:$C$504,$A22,JOURNAL!$A$5:$A$504,"&gt;="&amp;DATE(YEAR(SETUP!$B$8),MONTH(SETUP!$B$8)+5,1),JOURNAL!$A$5:$A$504,"&lt;="&amp;EOMONTH(SETUP!$B$8,5))-SUMIFS(JOURNAL!$J$5:$J$504,JOURNAL!$C$5:$C$504,$A22,JOURNAL!$A$5:$A$504,"&gt;="&amp;DATE(YEAR(SETUP!$B$8),MONTH(SETUP!$B$8)+5,1),JOURNAL!$A$5:$A$504,"&lt;="&amp;EOMONTH(SETUP!$B$8,5))</f>
        <v/>
      </c>
      <c r="I22" s="15">
        <f>SUMIFS(JOURNAL!$I$5:$I$504,JOURNAL!$C$5:$C$504,$A22,JOURNAL!$A$5:$A$504,"&gt;="&amp;DATE(YEAR(SETUP!$B$8),MONTH(SETUP!$B$8)+6,1),JOURNAL!$A$5:$A$504,"&lt;="&amp;EOMONTH(SETUP!$B$8,6))-SUMIFS(JOURNAL!$J$5:$J$504,JOURNAL!$C$5:$C$504,$A22,JOURNAL!$A$5:$A$504,"&gt;="&amp;DATE(YEAR(SETUP!$B$8),MONTH(SETUP!$B$8)+6,1),JOURNAL!$A$5:$A$504,"&lt;="&amp;EOMONTH(SETUP!$B$8,6))</f>
        <v/>
      </c>
      <c r="J22" s="15">
        <f>SUMIFS(JOURNAL!$I$5:$I$504,JOURNAL!$C$5:$C$504,$A22,JOURNAL!$A$5:$A$504,"&gt;="&amp;DATE(YEAR(SETUP!$B$8),MONTH(SETUP!$B$8)+7,1),JOURNAL!$A$5:$A$504,"&lt;="&amp;EOMONTH(SETUP!$B$8,7))-SUMIFS(JOURNAL!$J$5:$J$504,JOURNAL!$C$5:$C$504,$A22,JOURNAL!$A$5:$A$504,"&gt;="&amp;DATE(YEAR(SETUP!$B$8),MONTH(SETUP!$B$8)+7,1),JOURNAL!$A$5:$A$504,"&lt;="&amp;EOMONTH(SETUP!$B$8,7))</f>
        <v/>
      </c>
      <c r="K22" s="15">
        <f>SUMIFS(JOURNAL!$I$5:$I$504,JOURNAL!$C$5:$C$504,$A22,JOURNAL!$A$5:$A$504,"&gt;="&amp;DATE(YEAR(SETUP!$B$8),MONTH(SETUP!$B$8)+8,1),JOURNAL!$A$5:$A$504,"&lt;="&amp;EOMONTH(SETUP!$B$8,8))-SUMIFS(JOURNAL!$J$5:$J$504,JOURNAL!$C$5:$C$504,$A22,JOURNAL!$A$5:$A$504,"&gt;="&amp;DATE(YEAR(SETUP!$B$8),MONTH(SETUP!$B$8)+8,1),JOURNAL!$A$5:$A$504,"&lt;="&amp;EOMONTH(SETUP!$B$8,8))</f>
        <v/>
      </c>
      <c r="L22" s="15">
        <f>SUMIFS(JOURNAL!$I$5:$I$504,JOURNAL!$C$5:$C$504,$A22,JOURNAL!$A$5:$A$504,"&gt;="&amp;DATE(YEAR(SETUP!$B$8),MONTH(SETUP!$B$8)+9,1),JOURNAL!$A$5:$A$504,"&lt;="&amp;EOMONTH(SETUP!$B$8,9))-SUMIFS(JOURNAL!$J$5:$J$504,JOURNAL!$C$5:$C$504,$A22,JOURNAL!$A$5:$A$504,"&gt;="&amp;DATE(YEAR(SETUP!$B$8),MONTH(SETUP!$B$8)+9,1),JOURNAL!$A$5:$A$504,"&lt;="&amp;EOMONTH(SETUP!$B$8,9))</f>
        <v/>
      </c>
      <c r="M22" s="15">
        <f>SUMIFS(JOURNAL!$I$5:$I$504,JOURNAL!$C$5:$C$504,$A22,JOURNAL!$A$5:$A$504,"&gt;="&amp;DATE(YEAR(SETUP!$B$8),MONTH(SETUP!$B$8)+10,1),JOURNAL!$A$5:$A$504,"&lt;="&amp;EOMONTH(SETUP!$B$8,10))-SUMIFS(JOURNAL!$J$5:$J$504,JOURNAL!$C$5:$C$504,$A22,JOURNAL!$A$5:$A$504,"&gt;="&amp;DATE(YEAR(SETUP!$B$8),MONTH(SETUP!$B$8)+10,1),JOURNAL!$A$5:$A$504,"&lt;="&amp;EOMONTH(SETUP!$B$8,10))</f>
        <v/>
      </c>
      <c r="N22" s="15">
        <f>SUMIFS(JOURNAL!$I$5:$I$504,JOURNAL!$C$5:$C$504,$A22,JOURNAL!$A$5:$A$504,"&gt;="&amp;DATE(YEAR(SETUP!$B$8),MONTH(SETUP!$B$8)+11,1),JOURNAL!$A$5:$A$504,"&lt;="&amp;EOMONTH(SETUP!$B$8,11))-SUMIFS(JOURNAL!$J$5:$J$504,JOURNAL!$C$5:$C$504,$A22,JOURNAL!$A$5:$A$504,"&gt;="&amp;DATE(YEAR(SETUP!$B$8),MONTH(SETUP!$B$8)+11,1),JOURNAL!$A$5:$A$504,"&lt;="&amp;EOMONTH(SETUP!$B$8,11))</f>
        <v/>
      </c>
      <c r="O22" s="16">
        <f>SUM(C22:N22)</f>
        <v/>
      </c>
    </row>
    <row r="23">
      <c r="A23" t="inlineStr">
        <is>
          <t>2320</t>
        </is>
      </c>
      <c r="B23" t="inlineStr">
        <is>
          <t>Local Service Tax payable</t>
        </is>
      </c>
      <c r="C23" s="15">
        <f>SUMIFS(JOURNAL!$I$5:$I$504,JOURNAL!$C$5:$C$504,$A23,JOURNAL!$A$5:$A$504,"&gt;="&amp;DATE(YEAR(SETUP!$B$8),MONTH(SETUP!$B$8)+0,1),JOURNAL!$A$5:$A$504,"&lt;="&amp;EOMONTH(SETUP!$B$8,0))-SUMIFS(JOURNAL!$J$5:$J$504,JOURNAL!$C$5:$C$504,$A23,JOURNAL!$A$5:$A$504,"&gt;="&amp;DATE(YEAR(SETUP!$B$8),MONTH(SETUP!$B$8)+0,1),JOURNAL!$A$5:$A$504,"&lt;="&amp;EOMONTH(SETUP!$B$8,0))</f>
        <v/>
      </c>
      <c r="D23" s="15">
        <f>SUMIFS(JOURNAL!$I$5:$I$504,JOURNAL!$C$5:$C$504,$A23,JOURNAL!$A$5:$A$504,"&gt;="&amp;DATE(YEAR(SETUP!$B$8),MONTH(SETUP!$B$8)+1,1),JOURNAL!$A$5:$A$504,"&lt;="&amp;EOMONTH(SETUP!$B$8,1))-SUMIFS(JOURNAL!$J$5:$J$504,JOURNAL!$C$5:$C$504,$A23,JOURNAL!$A$5:$A$504,"&gt;="&amp;DATE(YEAR(SETUP!$B$8),MONTH(SETUP!$B$8)+1,1),JOURNAL!$A$5:$A$504,"&lt;="&amp;EOMONTH(SETUP!$B$8,1))</f>
        <v/>
      </c>
      <c r="E23" s="15">
        <f>SUMIFS(JOURNAL!$I$5:$I$504,JOURNAL!$C$5:$C$504,$A23,JOURNAL!$A$5:$A$504,"&gt;="&amp;DATE(YEAR(SETUP!$B$8),MONTH(SETUP!$B$8)+2,1),JOURNAL!$A$5:$A$504,"&lt;="&amp;EOMONTH(SETUP!$B$8,2))-SUMIFS(JOURNAL!$J$5:$J$504,JOURNAL!$C$5:$C$504,$A23,JOURNAL!$A$5:$A$504,"&gt;="&amp;DATE(YEAR(SETUP!$B$8),MONTH(SETUP!$B$8)+2,1),JOURNAL!$A$5:$A$504,"&lt;="&amp;EOMONTH(SETUP!$B$8,2))</f>
        <v/>
      </c>
      <c r="F23" s="15">
        <f>SUMIFS(JOURNAL!$I$5:$I$504,JOURNAL!$C$5:$C$504,$A23,JOURNAL!$A$5:$A$504,"&gt;="&amp;DATE(YEAR(SETUP!$B$8),MONTH(SETUP!$B$8)+3,1),JOURNAL!$A$5:$A$504,"&lt;="&amp;EOMONTH(SETUP!$B$8,3))-SUMIFS(JOURNAL!$J$5:$J$504,JOURNAL!$C$5:$C$504,$A23,JOURNAL!$A$5:$A$504,"&gt;="&amp;DATE(YEAR(SETUP!$B$8),MONTH(SETUP!$B$8)+3,1),JOURNAL!$A$5:$A$504,"&lt;="&amp;EOMONTH(SETUP!$B$8,3))</f>
        <v/>
      </c>
      <c r="G23" s="15">
        <f>SUMIFS(JOURNAL!$I$5:$I$504,JOURNAL!$C$5:$C$504,$A23,JOURNAL!$A$5:$A$504,"&gt;="&amp;DATE(YEAR(SETUP!$B$8),MONTH(SETUP!$B$8)+4,1),JOURNAL!$A$5:$A$504,"&lt;="&amp;EOMONTH(SETUP!$B$8,4))-SUMIFS(JOURNAL!$J$5:$J$504,JOURNAL!$C$5:$C$504,$A23,JOURNAL!$A$5:$A$504,"&gt;="&amp;DATE(YEAR(SETUP!$B$8),MONTH(SETUP!$B$8)+4,1),JOURNAL!$A$5:$A$504,"&lt;="&amp;EOMONTH(SETUP!$B$8,4))</f>
        <v/>
      </c>
      <c r="H23" s="15">
        <f>SUMIFS(JOURNAL!$I$5:$I$504,JOURNAL!$C$5:$C$504,$A23,JOURNAL!$A$5:$A$504,"&gt;="&amp;DATE(YEAR(SETUP!$B$8),MONTH(SETUP!$B$8)+5,1),JOURNAL!$A$5:$A$504,"&lt;="&amp;EOMONTH(SETUP!$B$8,5))-SUMIFS(JOURNAL!$J$5:$J$504,JOURNAL!$C$5:$C$504,$A23,JOURNAL!$A$5:$A$504,"&gt;="&amp;DATE(YEAR(SETUP!$B$8),MONTH(SETUP!$B$8)+5,1),JOURNAL!$A$5:$A$504,"&lt;="&amp;EOMONTH(SETUP!$B$8,5))</f>
        <v/>
      </c>
      <c r="I23" s="15">
        <f>SUMIFS(JOURNAL!$I$5:$I$504,JOURNAL!$C$5:$C$504,$A23,JOURNAL!$A$5:$A$504,"&gt;="&amp;DATE(YEAR(SETUP!$B$8),MONTH(SETUP!$B$8)+6,1),JOURNAL!$A$5:$A$504,"&lt;="&amp;EOMONTH(SETUP!$B$8,6))-SUMIFS(JOURNAL!$J$5:$J$504,JOURNAL!$C$5:$C$504,$A23,JOURNAL!$A$5:$A$504,"&gt;="&amp;DATE(YEAR(SETUP!$B$8),MONTH(SETUP!$B$8)+6,1),JOURNAL!$A$5:$A$504,"&lt;="&amp;EOMONTH(SETUP!$B$8,6))</f>
        <v/>
      </c>
      <c r="J23" s="15">
        <f>SUMIFS(JOURNAL!$I$5:$I$504,JOURNAL!$C$5:$C$504,$A23,JOURNAL!$A$5:$A$504,"&gt;="&amp;DATE(YEAR(SETUP!$B$8),MONTH(SETUP!$B$8)+7,1),JOURNAL!$A$5:$A$504,"&lt;="&amp;EOMONTH(SETUP!$B$8,7))-SUMIFS(JOURNAL!$J$5:$J$504,JOURNAL!$C$5:$C$504,$A23,JOURNAL!$A$5:$A$504,"&gt;="&amp;DATE(YEAR(SETUP!$B$8),MONTH(SETUP!$B$8)+7,1),JOURNAL!$A$5:$A$504,"&lt;="&amp;EOMONTH(SETUP!$B$8,7))</f>
        <v/>
      </c>
      <c r="K23" s="15">
        <f>SUMIFS(JOURNAL!$I$5:$I$504,JOURNAL!$C$5:$C$504,$A23,JOURNAL!$A$5:$A$504,"&gt;="&amp;DATE(YEAR(SETUP!$B$8),MONTH(SETUP!$B$8)+8,1),JOURNAL!$A$5:$A$504,"&lt;="&amp;EOMONTH(SETUP!$B$8,8))-SUMIFS(JOURNAL!$J$5:$J$504,JOURNAL!$C$5:$C$504,$A23,JOURNAL!$A$5:$A$504,"&gt;="&amp;DATE(YEAR(SETUP!$B$8),MONTH(SETUP!$B$8)+8,1),JOURNAL!$A$5:$A$504,"&lt;="&amp;EOMONTH(SETUP!$B$8,8))</f>
        <v/>
      </c>
      <c r="L23" s="15">
        <f>SUMIFS(JOURNAL!$I$5:$I$504,JOURNAL!$C$5:$C$504,$A23,JOURNAL!$A$5:$A$504,"&gt;="&amp;DATE(YEAR(SETUP!$B$8),MONTH(SETUP!$B$8)+9,1),JOURNAL!$A$5:$A$504,"&lt;="&amp;EOMONTH(SETUP!$B$8,9))-SUMIFS(JOURNAL!$J$5:$J$504,JOURNAL!$C$5:$C$504,$A23,JOURNAL!$A$5:$A$504,"&gt;="&amp;DATE(YEAR(SETUP!$B$8),MONTH(SETUP!$B$8)+9,1),JOURNAL!$A$5:$A$504,"&lt;="&amp;EOMONTH(SETUP!$B$8,9))</f>
        <v/>
      </c>
      <c r="M23" s="15">
        <f>SUMIFS(JOURNAL!$I$5:$I$504,JOURNAL!$C$5:$C$504,$A23,JOURNAL!$A$5:$A$504,"&gt;="&amp;DATE(YEAR(SETUP!$B$8),MONTH(SETUP!$B$8)+10,1),JOURNAL!$A$5:$A$504,"&lt;="&amp;EOMONTH(SETUP!$B$8,10))-SUMIFS(JOURNAL!$J$5:$J$504,JOURNAL!$C$5:$C$504,$A23,JOURNAL!$A$5:$A$504,"&gt;="&amp;DATE(YEAR(SETUP!$B$8),MONTH(SETUP!$B$8)+10,1),JOURNAL!$A$5:$A$504,"&lt;="&amp;EOMONTH(SETUP!$B$8,10))</f>
        <v/>
      </c>
      <c r="N23" s="15">
        <f>SUMIFS(JOURNAL!$I$5:$I$504,JOURNAL!$C$5:$C$504,$A23,JOURNAL!$A$5:$A$504,"&gt;="&amp;DATE(YEAR(SETUP!$B$8),MONTH(SETUP!$B$8)+11,1),JOURNAL!$A$5:$A$504,"&lt;="&amp;EOMONTH(SETUP!$B$8,11))-SUMIFS(JOURNAL!$J$5:$J$504,JOURNAL!$C$5:$C$504,$A23,JOURNAL!$A$5:$A$504,"&gt;="&amp;DATE(YEAR(SETUP!$B$8),MONTH(SETUP!$B$8)+11,1),JOURNAL!$A$5:$A$504,"&lt;="&amp;EOMONTH(SETUP!$B$8,11))</f>
        <v/>
      </c>
      <c r="O23" s="16">
        <f>SUM(C23:N23)</f>
        <v/>
      </c>
    </row>
    <row r="24">
      <c r="A24" t="inlineStr">
        <is>
          <t>2400</t>
        </is>
      </c>
      <c r="B24" t="inlineStr">
        <is>
          <t>Corporate tax payable</t>
        </is>
      </c>
      <c r="C24" s="15">
        <f>SUMIFS(JOURNAL!$I$5:$I$504,JOURNAL!$C$5:$C$504,$A24,JOURNAL!$A$5:$A$504,"&gt;="&amp;DATE(YEAR(SETUP!$B$8),MONTH(SETUP!$B$8)+0,1),JOURNAL!$A$5:$A$504,"&lt;="&amp;EOMONTH(SETUP!$B$8,0))-SUMIFS(JOURNAL!$J$5:$J$504,JOURNAL!$C$5:$C$504,$A24,JOURNAL!$A$5:$A$504,"&gt;="&amp;DATE(YEAR(SETUP!$B$8),MONTH(SETUP!$B$8)+0,1),JOURNAL!$A$5:$A$504,"&lt;="&amp;EOMONTH(SETUP!$B$8,0))</f>
        <v/>
      </c>
      <c r="D24" s="15">
        <f>SUMIFS(JOURNAL!$I$5:$I$504,JOURNAL!$C$5:$C$504,$A24,JOURNAL!$A$5:$A$504,"&gt;="&amp;DATE(YEAR(SETUP!$B$8),MONTH(SETUP!$B$8)+1,1),JOURNAL!$A$5:$A$504,"&lt;="&amp;EOMONTH(SETUP!$B$8,1))-SUMIFS(JOURNAL!$J$5:$J$504,JOURNAL!$C$5:$C$504,$A24,JOURNAL!$A$5:$A$504,"&gt;="&amp;DATE(YEAR(SETUP!$B$8),MONTH(SETUP!$B$8)+1,1),JOURNAL!$A$5:$A$504,"&lt;="&amp;EOMONTH(SETUP!$B$8,1))</f>
        <v/>
      </c>
      <c r="E24" s="15">
        <f>SUMIFS(JOURNAL!$I$5:$I$504,JOURNAL!$C$5:$C$504,$A24,JOURNAL!$A$5:$A$504,"&gt;="&amp;DATE(YEAR(SETUP!$B$8),MONTH(SETUP!$B$8)+2,1),JOURNAL!$A$5:$A$504,"&lt;="&amp;EOMONTH(SETUP!$B$8,2))-SUMIFS(JOURNAL!$J$5:$J$504,JOURNAL!$C$5:$C$504,$A24,JOURNAL!$A$5:$A$504,"&gt;="&amp;DATE(YEAR(SETUP!$B$8),MONTH(SETUP!$B$8)+2,1),JOURNAL!$A$5:$A$504,"&lt;="&amp;EOMONTH(SETUP!$B$8,2))</f>
        <v/>
      </c>
      <c r="F24" s="15">
        <f>SUMIFS(JOURNAL!$I$5:$I$504,JOURNAL!$C$5:$C$504,$A24,JOURNAL!$A$5:$A$504,"&gt;="&amp;DATE(YEAR(SETUP!$B$8),MONTH(SETUP!$B$8)+3,1),JOURNAL!$A$5:$A$504,"&lt;="&amp;EOMONTH(SETUP!$B$8,3))-SUMIFS(JOURNAL!$J$5:$J$504,JOURNAL!$C$5:$C$504,$A24,JOURNAL!$A$5:$A$504,"&gt;="&amp;DATE(YEAR(SETUP!$B$8),MONTH(SETUP!$B$8)+3,1),JOURNAL!$A$5:$A$504,"&lt;="&amp;EOMONTH(SETUP!$B$8,3))</f>
        <v/>
      </c>
      <c r="G24" s="15">
        <f>SUMIFS(JOURNAL!$I$5:$I$504,JOURNAL!$C$5:$C$504,$A24,JOURNAL!$A$5:$A$504,"&gt;="&amp;DATE(YEAR(SETUP!$B$8),MONTH(SETUP!$B$8)+4,1),JOURNAL!$A$5:$A$504,"&lt;="&amp;EOMONTH(SETUP!$B$8,4))-SUMIFS(JOURNAL!$J$5:$J$504,JOURNAL!$C$5:$C$504,$A24,JOURNAL!$A$5:$A$504,"&gt;="&amp;DATE(YEAR(SETUP!$B$8),MONTH(SETUP!$B$8)+4,1),JOURNAL!$A$5:$A$504,"&lt;="&amp;EOMONTH(SETUP!$B$8,4))</f>
        <v/>
      </c>
      <c r="H24" s="15">
        <f>SUMIFS(JOURNAL!$I$5:$I$504,JOURNAL!$C$5:$C$504,$A24,JOURNAL!$A$5:$A$504,"&gt;="&amp;DATE(YEAR(SETUP!$B$8),MONTH(SETUP!$B$8)+5,1),JOURNAL!$A$5:$A$504,"&lt;="&amp;EOMONTH(SETUP!$B$8,5))-SUMIFS(JOURNAL!$J$5:$J$504,JOURNAL!$C$5:$C$504,$A24,JOURNAL!$A$5:$A$504,"&gt;="&amp;DATE(YEAR(SETUP!$B$8),MONTH(SETUP!$B$8)+5,1),JOURNAL!$A$5:$A$504,"&lt;="&amp;EOMONTH(SETUP!$B$8,5))</f>
        <v/>
      </c>
      <c r="I24" s="15">
        <f>SUMIFS(JOURNAL!$I$5:$I$504,JOURNAL!$C$5:$C$504,$A24,JOURNAL!$A$5:$A$504,"&gt;="&amp;DATE(YEAR(SETUP!$B$8),MONTH(SETUP!$B$8)+6,1),JOURNAL!$A$5:$A$504,"&lt;="&amp;EOMONTH(SETUP!$B$8,6))-SUMIFS(JOURNAL!$J$5:$J$504,JOURNAL!$C$5:$C$504,$A24,JOURNAL!$A$5:$A$504,"&gt;="&amp;DATE(YEAR(SETUP!$B$8),MONTH(SETUP!$B$8)+6,1),JOURNAL!$A$5:$A$504,"&lt;="&amp;EOMONTH(SETUP!$B$8,6))</f>
        <v/>
      </c>
      <c r="J24" s="15">
        <f>SUMIFS(JOURNAL!$I$5:$I$504,JOURNAL!$C$5:$C$504,$A24,JOURNAL!$A$5:$A$504,"&gt;="&amp;DATE(YEAR(SETUP!$B$8),MONTH(SETUP!$B$8)+7,1),JOURNAL!$A$5:$A$504,"&lt;="&amp;EOMONTH(SETUP!$B$8,7))-SUMIFS(JOURNAL!$J$5:$J$504,JOURNAL!$C$5:$C$504,$A24,JOURNAL!$A$5:$A$504,"&gt;="&amp;DATE(YEAR(SETUP!$B$8),MONTH(SETUP!$B$8)+7,1),JOURNAL!$A$5:$A$504,"&lt;="&amp;EOMONTH(SETUP!$B$8,7))</f>
        <v/>
      </c>
      <c r="K24" s="15">
        <f>SUMIFS(JOURNAL!$I$5:$I$504,JOURNAL!$C$5:$C$504,$A24,JOURNAL!$A$5:$A$504,"&gt;="&amp;DATE(YEAR(SETUP!$B$8),MONTH(SETUP!$B$8)+8,1),JOURNAL!$A$5:$A$504,"&lt;="&amp;EOMONTH(SETUP!$B$8,8))-SUMIFS(JOURNAL!$J$5:$J$504,JOURNAL!$C$5:$C$504,$A24,JOURNAL!$A$5:$A$504,"&gt;="&amp;DATE(YEAR(SETUP!$B$8),MONTH(SETUP!$B$8)+8,1),JOURNAL!$A$5:$A$504,"&lt;="&amp;EOMONTH(SETUP!$B$8,8))</f>
        <v/>
      </c>
      <c r="L24" s="15">
        <f>SUMIFS(JOURNAL!$I$5:$I$504,JOURNAL!$C$5:$C$504,$A24,JOURNAL!$A$5:$A$504,"&gt;="&amp;DATE(YEAR(SETUP!$B$8),MONTH(SETUP!$B$8)+9,1),JOURNAL!$A$5:$A$504,"&lt;="&amp;EOMONTH(SETUP!$B$8,9))-SUMIFS(JOURNAL!$J$5:$J$504,JOURNAL!$C$5:$C$504,$A24,JOURNAL!$A$5:$A$504,"&gt;="&amp;DATE(YEAR(SETUP!$B$8),MONTH(SETUP!$B$8)+9,1),JOURNAL!$A$5:$A$504,"&lt;="&amp;EOMONTH(SETUP!$B$8,9))</f>
        <v/>
      </c>
      <c r="M24" s="15">
        <f>SUMIFS(JOURNAL!$I$5:$I$504,JOURNAL!$C$5:$C$504,$A24,JOURNAL!$A$5:$A$504,"&gt;="&amp;DATE(YEAR(SETUP!$B$8),MONTH(SETUP!$B$8)+10,1),JOURNAL!$A$5:$A$504,"&lt;="&amp;EOMONTH(SETUP!$B$8,10))-SUMIFS(JOURNAL!$J$5:$J$504,JOURNAL!$C$5:$C$504,$A24,JOURNAL!$A$5:$A$504,"&gt;="&amp;DATE(YEAR(SETUP!$B$8),MONTH(SETUP!$B$8)+10,1),JOURNAL!$A$5:$A$504,"&lt;="&amp;EOMONTH(SETUP!$B$8,10))</f>
        <v/>
      </c>
      <c r="N24" s="15">
        <f>SUMIFS(JOURNAL!$I$5:$I$504,JOURNAL!$C$5:$C$504,$A24,JOURNAL!$A$5:$A$504,"&gt;="&amp;DATE(YEAR(SETUP!$B$8),MONTH(SETUP!$B$8)+11,1),JOURNAL!$A$5:$A$504,"&lt;="&amp;EOMONTH(SETUP!$B$8,11))-SUMIFS(JOURNAL!$J$5:$J$504,JOURNAL!$C$5:$C$504,$A24,JOURNAL!$A$5:$A$504,"&gt;="&amp;DATE(YEAR(SETUP!$B$8),MONTH(SETUP!$B$8)+11,1),JOURNAL!$A$5:$A$504,"&lt;="&amp;EOMONTH(SETUP!$B$8,11))</f>
        <v/>
      </c>
      <c r="O24" s="16">
        <f>SUM(C24:N24)</f>
        <v/>
      </c>
    </row>
    <row r="25">
      <c r="A25" t="inlineStr">
        <is>
          <t>2500</t>
        </is>
      </c>
      <c r="B25" t="inlineStr">
        <is>
          <t>Loans and borrowings</t>
        </is>
      </c>
      <c r="C25" s="15">
        <f>SUMIFS(JOURNAL!$I$5:$I$504,JOURNAL!$C$5:$C$504,$A25,JOURNAL!$A$5:$A$504,"&gt;="&amp;DATE(YEAR(SETUP!$B$8),MONTH(SETUP!$B$8)+0,1),JOURNAL!$A$5:$A$504,"&lt;="&amp;EOMONTH(SETUP!$B$8,0))-SUMIFS(JOURNAL!$J$5:$J$504,JOURNAL!$C$5:$C$504,$A25,JOURNAL!$A$5:$A$504,"&gt;="&amp;DATE(YEAR(SETUP!$B$8),MONTH(SETUP!$B$8)+0,1),JOURNAL!$A$5:$A$504,"&lt;="&amp;EOMONTH(SETUP!$B$8,0))</f>
        <v/>
      </c>
      <c r="D25" s="15">
        <f>SUMIFS(JOURNAL!$I$5:$I$504,JOURNAL!$C$5:$C$504,$A25,JOURNAL!$A$5:$A$504,"&gt;="&amp;DATE(YEAR(SETUP!$B$8),MONTH(SETUP!$B$8)+1,1),JOURNAL!$A$5:$A$504,"&lt;="&amp;EOMONTH(SETUP!$B$8,1))-SUMIFS(JOURNAL!$J$5:$J$504,JOURNAL!$C$5:$C$504,$A25,JOURNAL!$A$5:$A$504,"&gt;="&amp;DATE(YEAR(SETUP!$B$8),MONTH(SETUP!$B$8)+1,1),JOURNAL!$A$5:$A$504,"&lt;="&amp;EOMONTH(SETUP!$B$8,1))</f>
        <v/>
      </c>
      <c r="E25" s="15">
        <f>SUMIFS(JOURNAL!$I$5:$I$504,JOURNAL!$C$5:$C$504,$A25,JOURNAL!$A$5:$A$504,"&gt;="&amp;DATE(YEAR(SETUP!$B$8),MONTH(SETUP!$B$8)+2,1),JOURNAL!$A$5:$A$504,"&lt;="&amp;EOMONTH(SETUP!$B$8,2))-SUMIFS(JOURNAL!$J$5:$J$504,JOURNAL!$C$5:$C$504,$A25,JOURNAL!$A$5:$A$504,"&gt;="&amp;DATE(YEAR(SETUP!$B$8),MONTH(SETUP!$B$8)+2,1),JOURNAL!$A$5:$A$504,"&lt;="&amp;EOMONTH(SETUP!$B$8,2))</f>
        <v/>
      </c>
      <c r="F25" s="15">
        <f>SUMIFS(JOURNAL!$I$5:$I$504,JOURNAL!$C$5:$C$504,$A25,JOURNAL!$A$5:$A$504,"&gt;="&amp;DATE(YEAR(SETUP!$B$8),MONTH(SETUP!$B$8)+3,1),JOURNAL!$A$5:$A$504,"&lt;="&amp;EOMONTH(SETUP!$B$8,3))-SUMIFS(JOURNAL!$J$5:$J$504,JOURNAL!$C$5:$C$504,$A25,JOURNAL!$A$5:$A$504,"&gt;="&amp;DATE(YEAR(SETUP!$B$8),MONTH(SETUP!$B$8)+3,1),JOURNAL!$A$5:$A$504,"&lt;="&amp;EOMONTH(SETUP!$B$8,3))</f>
        <v/>
      </c>
      <c r="G25" s="15">
        <f>SUMIFS(JOURNAL!$I$5:$I$504,JOURNAL!$C$5:$C$504,$A25,JOURNAL!$A$5:$A$504,"&gt;="&amp;DATE(YEAR(SETUP!$B$8),MONTH(SETUP!$B$8)+4,1),JOURNAL!$A$5:$A$504,"&lt;="&amp;EOMONTH(SETUP!$B$8,4))-SUMIFS(JOURNAL!$J$5:$J$504,JOURNAL!$C$5:$C$504,$A25,JOURNAL!$A$5:$A$504,"&gt;="&amp;DATE(YEAR(SETUP!$B$8),MONTH(SETUP!$B$8)+4,1),JOURNAL!$A$5:$A$504,"&lt;="&amp;EOMONTH(SETUP!$B$8,4))</f>
        <v/>
      </c>
      <c r="H25" s="15">
        <f>SUMIFS(JOURNAL!$I$5:$I$504,JOURNAL!$C$5:$C$504,$A25,JOURNAL!$A$5:$A$504,"&gt;="&amp;DATE(YEAR(SETUP!$B$8),MONTH(SETUP!$B$8)+5,1),JOURNAL!$A$5:$A$504,"&lt;="&amp;EOMONTH(SETUP!$B$8,5))-SUMIFS(JOURNAL!$J$5:$J$504,JOURNAL!$C$5:$C$504,$A25,JOURNAL!$A$5:$A$504,"&gt;="&amp;DATE(YEAR(SETUP!$B$8),MONTH(SETUP!$B$8)+5,1),JOURNAL!$A$5:$A$504,"&lt;="&amp;EOMONTH(SETUP!$B$8,5))</f>
        <v/>
      </c>
      <c r="I25" s="15">
        <f>SUMIFS(JOURNAL!$I$5:$I$504,JOURNAL!$C$5:$C$504,$A25,JOURNAL!$A$5:$A$504,"&gt;="&amp;DATE(YEAR(SETUP!$B$8),MONTH(SETUP!$B$8)+6,1),JOURNAL!$A$5:$A$504,"&lt;="&amp;EOMONTH(SETUP!$B$8,6))-SUMIFS(JOURNAL!$J$5:$J$504,JOURNAL!$C$5:$C$504,$A25,JOURNAL!$A$5:$A$504,"&gt;="&amp;DATE(YEAR(SETUP!$B$8),MONTH(SETUP!$B$8)+6,1),JOURNAL!$A$5:$A$504,"&lt;="&amp;EOMONTH(SETUP!$B$8,6))</f>
        <v/>
      </c>
      <c r="J25" s="15">
        <f>SUMIFS(JOURNAL!$I$5:$I$504,JOURNAL!$C$5:$C$504,$A25,JOURNAL!$A$5:$A$504,"&gt;="&amp;DATE(YEAR(SETUP!$B$8),MONTH(SETUP!$B$8)+7,1),JOURNAL!$A$5:$A$504,"&lt;="&amp;EOMONTH(SETUP!$B$8,7))-SUMIFS(JOURNAL!$J$5:$J$504,JOURNAL!$C$5:$C$504,$A25,JOURNAL!$A$5:$A$504,"&gt;="&amp;DATE(YEAR(SETUP!$B$8),MONTH(SETUP!$B$8)+7,1),JOURNAL!$A$5:$A$504,"&lt;="&amp;EOMONTH(SETUP!$B$8,7))</f>
        <v/>
      </c>
      <c r="K25" s="15">
        <f>SUMIFS(JOURNAL!$I$5:$I$504,JOURNAL!$C$5:$C$504,$A25,JOURNAL!$A$5:$A$504,"&gt;="&amp;DATE(YEAR(SETUP!$B$8),MONTH(SETUP!$B$8)+8,1),JOURNAL!$A$5:$A$504,"&lt;="&amp;EOMONTH(SETUP!$B$8,8))-SUMIFS(JOURNAL!$J$5:$J$504,JOURNAL!$C$5:$C$504,$A25,JOURNAL!$A$5:$A$504,"&gt;="&amp;DATE(YEAR(SETUP!$B$8),MONTH(SETUP!$B$8)+8,1),JOURNAL!$A$5:$A$504,"&lt;="&amp;EOMONTH(SETUP!$B$8,8))</f>
        <v/>
      </c>
      <c r="L25" s="15">
        <f>SUMIFS(JOURNAL!$I$5:$I$504,JOURNAL!$C$5:$C$504,$A25,JOURNAL!$A$5:$A$504,"&gt;="&amp;DATE(YEAR(SETUP!$B$8),MONTH(SETUP!$B$8)+9,1),JOURNAL!$A$5:$A$504,"&lt;="&amp;EOMONTH(SETUP!$B$8,9))-SUMIFS(JOURNAL!$J$5:$J$504,JOURNAL!$C$5:$C$504,$A25,JOURNAL!$A$5:$A$504,"&gt;="&amp;DATE(YEAR(SETUP!$B$8),MONTH(SETUP!$B$8)+9,1),JOURNAL!$A$5:$A$504,"&lt;="&amp;EOMONTH(SETUP!$B$8,9))</f>
        <v/>
      </c>
      <c r="M25" s="15">
        <f>SUMIFS(JOURNAL!$I$5:$I$504,JOURNAL!$C$5:$C$504,$A25,JOURNAL!$A$5:$A$504,"&gt;="&amp;DATE(YEAR(SETUP!$B$8),MONTH(SETUP!$B$8)+10,1),JOURNAL!$A$5:$A$504,"&lt;="&amp;EOMONTH(SETUP!$B$8,10))-SUMIFS(JOURNAL!$J$5:$J$504,JOURNAL!$C$5:$C$504,$A25,JOURNAL!$A$5:$A$504,"&gt;="&amp;DATE(YEAR(SETUP!$B$8),MONTH(SETUP!$B$8)+10,1),JOURNAL!$A$5:$A$504,"&lt;="&amp;EOMONTH(SETUP!$B$8,10))</f>
        <v/>
      </c>
      <c r="N25" s="15">
        <f>SUMIFS(JOURNAL!$I$5:$I$504,JOURNAL!$C$5:$C$504,$A25,JOURNAL!$A$5:$A$504,"&gt;="&amp;DATE(YEAR(SETUP!$B$8),MONTH(SETUP!$B$8)+11,1),JOURNAL!$A$5:$A$504,"&lt;="&amp;EOMONTH(SETUP!$B$8,11))-SUMIFS(JOURNAL!$J$5:$J$504,JOURNAL!$C$5:$C$504,$A25,JOURNAL!$A$5:$A$504,"&gt;="&amp;DATE(YEAR(SETUP!$B$8),MONTH(SETUP!$B$8)+11,1),JOURNAL!$A$5:$A$504,"&lt;="&amp;EOMONTH(SETUP!$B$8,11))</f>
        <v/>
      </c>
      <c r="O25" s="16">
        <f>SUM(C25:N25)</f>
        <v/>
      </c>
    </row>
    <row r="26">
      <c r="A26" t="inlineStr">
        <is>
          <t>3000</t>
        </is>
      </c>
      <c r="B26" t="inlineStr">
        <is>
          <t>Share capital</t>
        </is>
      </c>
      <c r="C26" s="15">
        <f>SUMIFS(JOURNAL!$I$5:$I$504,JOURNAL!$C$5:$C$504,$A26,JOURNAL!$A$5:$A$504,"&gt;="&amp;DATE(YEAR(SETUP!$B$8),MONTH(SETUP!$B$8)+0,1),JOURNAL!$A$5:$A$504,"&lt;="&amp;EOMONTH(SETUP!$B$8,0))-SUMIFS(JOURNAL!$J$5:$J$504,JOURNAL!$C$5:$C$504,$A26,JOURNAL!$A$5:$A$504,"&gt;="&amp;DATE(YEAR(SETUP!$B$8),MONTH(SETUP!$B$8)+0,1),JOURNAL!$A$5:$A$504,"&lt;="&amp;EOMONTH(SETUP!$B$8,0))</f>
        <v/>
      </c>
      <c r="D26" s="15">
        <f>SUMIFS(JOURNAL!$I$5:$I$504,JOURNAL!$C$5:$C$504,$A26,JOURNAL!$A$5:$A$504,"&gt;="&amp;DATE(YEAR(SETUP!$B$8),MONTH(SETUP!$B$8)+1,1),JOURNAL!$A$5:$A$504,"&lt;="&amp;EOMONTH(SETUP!$B$8,1))-SUMIFS(JOURNAL!$J$5:$J$504,JOURNAL!$C$5:$C$504,$A26,JOURNAL!$A$5:$A$504,"&gt;="&amp;DATE(YEAR(SETUP!$B$8),MONTH(SETUP!$B$8)+1,1),JOURNAL!$A$5:$A$504,"&lt;="&amp;EOMONTH(SETUP!$B$8,1))</f>
        <v/>
      </c>
      <c r="E26" s="15">
        <f>SUMIFS(JOURNAL!$I$5:$I$504,JOURNAL!$C$5:$C$504,$A26,JOURNAL!$A$5:$A$504,"&gt;="&amp;DATE(YEAR(SETUP!$B$8),MONTH(SETUP!$B$8)+2,1),JOURNAL!$A$5:$A$504,"&lt;="&amp;EOMONTH(SETUP!$B$8,2))-SUMIFS(JOURNAL!$J$5:$J$504,JOURNAL!$C$5:$C$504,$A26,JOURNAL!$A$5:$A$504,"&gt;="&amp;DATE(YEAR(SETUP!$B$8),MONTH(SETUP!$B$8)+2,1),JOURNAL!$A$5:$A$504,"&lt;="&amp;EOMONTH(SETUP!$B$8,2))</f>
        <v/>
      </c>
      <c r="F26" s="15">
        <f>SUMIFS(JOURNAL!$I$5:$I$504,JOURNAL!$C$5:$C$504,$A26,JOURNAL!$A$5:$A$504,"&gt;="&amp;DATE(YEAR(SETUP!$B$8),MONTH(SETUP!$B$8)+3,1),JOURNAL!$A$5:$A$504,"&lt;="&amp;EOMONTH(SETUP!$B$8,3))-SUMIFS(JOURNAL!$J$5:$J$504,JOURNAL!$C$5:$C$504,$A26,JOURNAL!$A$5:$A$504,"&gt;="&amp;DATE(YEAR(SETUP!$B$8),MONTH(SETUP!$B$8)+3,1),JOURNAL!$A$5:$A$504,"&lt;="&amp;EOMONTH(SETUP!$B$8,3))</f>
        <v/>
      </c>
      <c r="G26" s="15">
        <f>SUMIFS(JOURNAL!$I$5:$I$504,JOURNAL!$C$5:$C$504,$A26,JOURNAL!$A$5:$A$504,"&gt;="&amp;DATE(YEAR(SETUP!$B$8),MONTH(SETUP!$B$8)+4,1),JOURNAL!$A$5:$A$504,"&lt;="&amp;EOMONTH(SETUP!$B$8,4))-SUMIFS(JOURNAL!$J$5:$J$504,JOURNAL!$C$5:$C$504,$A26,JOURNAL!$A$5:$A$504,"&gt;="&amp;DATE(YEAR(SETUP!$B$8),MONTH(SETUP!$B$8)+4,1),JOURNAL!$A$5:$A$504,"&lt;="&amp;EOMONTH(SETUP!$B$8,4))</f>
        <v/>
      </c>
      <c r="H26" s="15">
        <f>SUMIFS(JOURNAL!$I$5:$I$504,JOURNAL!$C$5:$C$504,$A26,JOURNAL!$A$5:$A$504,"&gt;="&amp;DATE(YEAR(SETUP!$B$8),MONTH(SETUP!$B$8)+5,1),JOURNAL!$A$5:$A$504,"&lt;="&amp;EOMONTH(SETUP!$B$8,5))-SUMIFS(JOURNAL!$J$5:$J$504,JOURNAL!$C$5:$C$504,$A26,JOURNAL!$A$5:$A$504,"&gt;="&amp;DATE(YEAR(SETUP!$B$8),MONTH(SETUP!$B$8)+5,1),JOURNAL!$A$5:$A$504,"&lt;="&amp;EOMONTH(SETUP!$B$8,5))</f>
        <v/>
      </c>
      <c r="I26" s="15">
        <f>SUMIFS(JOURNAL!$I$5:$I$504,JOURNAL!$C$5:$C$504,$A26,JOURNAL!$A$5:$A$504,"&gt;="&amp;DATE(YEAR(SETUP!$B$8),MONTH(SETUP!$B$8)+6,1),JOURNAL!$A$5:$A$504,"&lt;="&amp;EOMONTH(SETUP!$B$8,6))-SUMIFS(JOURNAL!$J$5:$J$504,JOURNAL!$C$5:$C$504,$A26,JOURNAL!$A$5:$A$504,"&gt;="&amp;DATE(YEAR(SETUP!$B$8),MONTH(SETUP!$B$8)+6,1),JOURNAL!$A$5:$A$504,"&lt;="&amp;EOMONTH(SETUP!$B$8,6))</f>
        <v/>
      </c>
      <c r="J26" s="15">
        <f>SUMIFS(JOURNAL!$I$5:$I$504,JOURNAL!$C$5:$C$504,$A26,JOURNAL!$A$5:$A$504,"&gt;="&amp;DATE(YEAR(SETUP!$B$8),MONTH(SETUP!$B$8)+7,1),JOURNAL!$A$5:$A$504,"&lt;="&amp;EOMONTH(SETUP!$B$8,7))-SUMIFS(JOURNAL!$J$5:$J$504,JOURNAL!$C$5:$C$504,$A26,JOURNAL!$A$5:$A$504,"&gt;="&amp;DATE(YEAR(SETUP!$B$8),MONTH(SETUP!$B$8)+7,1),JOURNAL!$A$5:$A$504,"&lt;="&amp;EOMONTH(SETUP!$B$8,7))</f>
        <v/>
      </c>
      <c r="K26" s="15">
        <f>SUMIFS(JOURNAL!$I$5:$I$504,JOURNAL!$C$5:$C$504,$A26,JOURNAL!$A$5:$A$504,"&gt;="&amp;DATE(YEAR(SETUP!$B$8),MONTH(SETUP!$B$8)+8,1),JOURNAL!$A$5:$A$504,"&lt;="&amp;EOMONTH(SETUP!$B$8,8))-SUMIFS(JOURNAL!$J$5:$J$504,JOURNAL!$C$5:$C$504,$A26,JOURNAL!$A$5:$A$504,"&gt;="&amp;DATE(YEAR(SETUP!$B$8),MONTH(SETUP!$B$8)+8,1),JOURNAL!$A$5:$A$504,"&lt;="&amp;EOMONTH(SETUP!$B$8,8))</f>
        <v/>
      </c>
      <c r="L26" s="15">
        <f>SUMIFS(JOURNAL!$I$5:$I$504,JOURNAL!$C$5:$C$504,$A26,JOURNAL!$A$5:$A$504,"&gt;="&amp;DATE(YEAR(SETUP!$B$8),MONTH(SETUP!$B$8)+9,1),JOURNAL!$A$5:$A$504,"&lt;="&amp;EOMONTH(SETUP!$B$8,9))-SUMIFS(JOURNAL!$J$5:$J$504,JOURNAL!$C$5:$C$504,$A26,JOURNAL!$A$5:$A$504,"&gt;="&amp;DATE(YEAR(SETUP!$B$8),MONTH(SETUP!$B$8)+9,1),JOURNAL!$A$5:$A$504,"&lt;="&amp;EOMONTH(SETUP!$B$8,9))</f>
        <v/>
      </c>
      <c r="M26" s="15">
        <f>SUMIFS(JOURNAL!$I$5:$I$504,JOURNAL!$C$5:$C$504,$A26,JOURNAL!$A$5:$A$504,"&gt;="&amp;DATE(YEAR(SETUP!$B$8),MONTH(SETUP!$B$8)+10,1),JOURNAL!$A$5:$A$504,"&lt;="&amp;EOMONTH(SETUP!$B$8,10))-SUMIFS(JOURNAL!$J$5:$J$504,JOURNAL!$C$5:$C$504,$A26,JOURNAL!$A$5:$A$504,"&gt;="&amp;DATE(YEAR(SETUP!$B$8),MONTH(SETUP!$B$8)+10,1),JOURNAL!$A$5:$A$504,"&lt;="&amp;EOMONTH(SETUP!$B$8,10))</f>
        <v/>
      </c>
      <c r="N26" s="15">
        <f>SUMIFS(JOURNAL!$I$5:$I$504,JOURNAL!$C$5:$C$504,$A26,JOURNAL!$A$5:$A$504,"&gt;="&amp;DATE(YEAR(SETUP!$B$8),MONTH(SETUP!$B$8)+11,1),JOURNAL!$A$5:$A$504,"&lt;="&amp;EOMONTH(SETUP!$B$8,11))-SUMIFS(JOURNAL!$J$5:$J$504,JOURNAL!$C$5:$C$504,$A26,JOURNAL!$A$5:$A$504,"&gt;="&amp;DATE(YEAR(SETUP!$B$8),MONTH(SETUP!$B$8)+11,1),JOURNAL!$A$5:$A$504,"&lt;="&amp;EOMONTH(SETUP!$B$8,11))</f>
        <v/>
      </c>
      <c r="O26" s="16">
        <f>SUM(C26:N26)</f>
        <v/>
      </c>
    </row>
    <row r="27">
      <c r="A27" t="inlineStr">
        <is>
          <t>3100</t>
        </is>
      </c>
      <c r="B27" t="inlineStr">
        <is>
          <t>Retained earnings</t>
        </is>
      </c>
      <c r="C27" s="15">
        <f>SUMIFS(JOURNAL!$I$5:$I$504,JOURNAL!$C$5:$C$504,$A27,JOURNAL!$A$5:$A$504,"&gt;="&amp;DATE(YEAR(SETUP!$B$8),MONTH(SETUP!$B$8)+0,1),JOURNAL!$A$5:$A$504,"&lt;="&amp;EOMONTH(SETUP!$B$8,0))-SUMIFS(JOURNAL!$J$5:$J$504,JOURNAL!$C$5:$C$504,$A27,JOURNAL!$A$5:$A$504,"&gt;="&amp;DATE(YEAR(SETUP!$B$8),MONTH(SETUP!$B$8)+0,1),JOURNAL!$A$5:$A$504,"&lt;="&amp;EOMONTH(SETUP!$B$8,0))</f>
        <v/>
      </c>
      <c r="D27" s="15">
        <f>SUMIFS(JOURNAL!$I$5:$I$504,JOURNAL!$C$5:$C$504,$A27,JOURNAL!$A$5:$A$504,"&gt;="&amp;DATE(YEAR(SETUP!$B$8),MONTH(SETUP!$B$8)+1,1),JOURNAL!$A$5:$A$504,"&lt;="&amp;EOMONTH(SETUP!$B$8,1))-SUMIFS(JOURNAL!$J$5:$J$504,JOURNAL!$C$5:$C$504,$A27,JOURNAL!$A$5:$A$504,"&gt;="&amp;DATE(YEAR(SETUP!$B$8),MONTH(SETUP!$B$8)+1,1),JOURNAL!$A$5:$A$504,"&lt;="&amp;EOMONTH(SETUP!$B$8,1))</f>
        <v/>
      </c>
      <c r="E27" s="15">
        <f>SUMIFS(JOURNAL!$I$5:$I$504,JOURNAL!$C$5:$C$504,$A27,JOURNAL!$A$5:$A$504,"&gt;="&amp;DATE(YEAR(SETUP!$B$8),MONTH(SETUP!$B$8)+2,1),JOURNAL!$A$5:$A$504,"&lt;="&amp;EOMONTH(SETUP!$B$8,2))-SUMIFS(JOURNAL!$J$5:$J$504,JOURNAL!$C$5:$C$504,$A27,JOURNAL!$A$5:$A$504,"&gt;="&amp;DATE(YEAR(SETUP!$B$8),MONTH(SETUP!$B$8)+2,1),JOURNAL!$A$5:$A$504,"&lt;="&amp;EOMONTH(SETUP!$B$8,2))</f>
        <v/>
      </c>
      <c r="F27" s="15">
        <f>SUMIFS(JOURNAL!$I$5:$I$504,JOURNAL!$C$5:$C$504,$A27,JOURNAL!$A$5:$A$504,"&gt;="&amp;DATE(YEAR(SETUP!$B$8),MONTH(SETUP!$B$8)+3,1),JOURNAL!$A$5:$A$504,"&lt;="&amp;EOMONTH(SETUP!$B$8,3))-SUMIFS(JOURNAL!$J$5:$J$504,JOURNAL!$C$5:$C$504,$A27,JOURNAL!$A$5:$A$504,"&gt;="&amp;DATE(YEAR(SETUP!$B$8),MONTH(SETUP!$B$8)+3,1),JOURNAL!$A$5:$A$504,"&lt;="&amp;EOMONTH(SETUP!$B$8,3))</f>
        <v/>
      </c>
      <c r="G27" s="15">
        <f>SUMIFS(JOURNAL!$I$5:$I$504,JOURNAL!$C$5:$C$504,$A27,JOURNAL!$A$5:$A$504,"&gt;="&amp;DATE(YEAR(SETUP!$B$8),MONTH(SETUP!$B$8)+4,1),JOURNAL!$A$5:$A$504,"&lt;="&amp;EOMONTH(SETUP!$B$8,4))-SUMIFS(JOURNAL!$J$5:$J$504,JOURNAL!$C$5:$C$504,$A27,JOURNAL!$A$5:$A$504,"&gt;="&amp;DATE(YEAR(SETUP!$B$8),MONTH(SETUP!$B$8)+4,1),JOURNAL!$A$5:$A$504,"&lt;="&amp;EOMONTH(SETUP!$B$8,4))</f>
        <v/>
      </c>
      <c r="H27" s="15">
        <f>SUMIFS(JOURNAL!$I$5:$I$504,JOURNAL!$C$5:$C$504,$A27,JOURNAL!$A$5:$A$504,"&gt;="&amp;DATE(YEAR(SETUP!$B$8),MONTH(SETUP!$B$8)+5,1),JOURNAL!$A$5:$A$504,"&lt;="&amp;EOMONTH(SETUP!$B$8,5))-SUMIFS(JOURNAL!$J$5:$J$504,JOURNAL!$C$5:$C$504,$A27,JOURNAL!$A$5:$A$504,"&gt;="&amp;DATE(YEAR(SETUP!$B$8),MONTH(SETUP!$B$8)+5,1),JOURNAL!$A$5:$A$504,"&lt;="&amp;EOMONTH(SETUP!$B$8,5))</f>
        <v/>
      </c>
      <c r="I27" s="15">
        <f>SUMIFS(JOURNAL!$I$5:$I$504,JOURNAL!$C$5:$C$504,$A27,JOURNAL!$A$5:$A$504,"&gt;="&amp;DATE(YEAR(SETUP!$B$8),MONTH(SETUP!$B$8)+6,1),JOURNAL!$A$5:$A$504,"&lt;="&amp;EOMONTH(SETUP!$B$8,6))-SUMIFS(JOURNAL!$J$5:$J$504,JOURNAL!$C$5:$C$504,$A27,JOURNAL!$A$5:$A$504,"&gt;="&amp;DATE(YEAR(SETUP!$B$8),MONTH(SETUP!$B$8)+6,1),JOURNAL!$A$5:$A$504,"&lt;="&amp;EOMONTH(SETUP!$B$8,6))</f>
        <v/>
      </c>
      <c r="J27" s="15">
        <f>SUMIFS(JOURNAL!$I$5:$I$504,JOURNAL!$C$5:$C$504,$A27,JOURNAL!$A$5:$A$504,"&gt;="&amp;DATE(YEAR(SETUP!$B$8),MONTH(SETUP!$B$8)+7,1),JOURNAL!$A$5:$A$504,"&lt;="&amp;EOMONTH(SETUP!$B$8,7))-SUMIFS(JOURNAL!$J$5:$J$504,JOURNAL!$C$5:$C$504,$A27,JOURNAL!$A$5:$A$504,"&gt;="&amp;DATE(YEAR(SETUP!$B$8),MONTH(SETUP!$B$8)+7,1),JOURNAL!$A$5:$A$504,"&lt;="&amp;EOMONTH(SETUP!$B$8,7))</f>
        <v/>
      </c>
      <c r="K27" s="15">
        <f>SUMIFS(JOURNAL!$I$5:$I$504,JOURNAL!$C$5:$C$504,$A27,JOURNAL!$A$5:$A$504,"&gt;="&amp;DATE(YEAR(SETUP!$B$8),MONTH(SETUP!$B$8)+8,1),JOURNAL!$A$5:$A$504,"&lt;="&amp;EOMONTH(SETUP!$B$8,8))-SUMIFS(JOURNAL!$J$5:$J$504,JOURNAL!$C$5:$C$504,$A27,JOURNAL!$A$5:$A$504,"&gt;="&amp;DATE(YEAR(SETUP!$B$8),MONTH(SETUP!$B$8)+8,1),JOURNAL!$A$5:$A$504,"&lt;="&amp;EOMONTH(SETUP!$B$8,8))</f>
        <v/>
      </c>
      <c r="L27" s="15">
        <f>SUMIFS(JOURNAL!$I$5:$I$504,JOURNAL!$C$5:$C$504,$A27,JOURNAL!$A$5:$A$504,"&gt;="&amp;DATE(YEAR(SETUP!$B$8),MONTH(SETUP!$B$8)+9,1),JOURNAL!$A$5:$A$504,"&lt;="&amp;EOMONTH(SETUP!$B$8,9))-SUMIFS(JOURNAL!$J$5:$J$504,JOURNAL!$C$5:$C$504,$A27,JOURNAL!$A$5:$A$504,"&gt;="&amp;DATE(YEAR(SETUP!$B$8),MONTH(SETUP!$B$8)+9,1),JOURNAL!$A$5:$A$504,"&lt;="&amp;EOMONTH(SETUP!$B$8,9))</f>
        <v/>
      </c>
      <c r="M27" s="15">
        <f>SUMIFS(JOURNAL!$I$5:$I$504,JOURNAL!$C$5:$C$504,$A27,JOURNAL!$A$5:$A$504,"&gt;="&amp;DATE(YEAR(SETUP!$B$8),MONTH(SETUP!$B$8)+10,1),JOURNAL!$A$5:$A$504,"&lt;="&amp;EOMONTH(SETUP!$B$8,10))-SUMIFS(JOURNAL!$J$5:$J$504,JOURNAL!$C$5:$C$504,$A27,JOURNAL!$A$5:$A$504,"&gt;="&amp;DATE(YEAR(SETUP!$B$8),MONTH(SETUP!$B$8)+10,1),JOURNAL!$A$5:$A$504,"&lt;="&amp;EOMONTH(SETUP!$B$8,10))</f>
        <v/>
      </c>
      <c r="N27" s="15">
        <f>SUMIFS(JOURNAL!$I$5:$I$504,JOURNAL!$C$5:$C$504,$A27,JOURNAL!$A$5:$A$504,"&gt;="&amp;DATE(YEAR(SETUP!$B$8),MONTH(SETUP!$B$8)+11,1),JOURNAL!$A$5:$A$504,"&lt;="&amp;EOMONTH(SETUP!$B$8,11))-SUMIFS(JOURNAL!$J$5:$J$504,JOURNAL!$C$5:$C$504,$A27,JOURNAL!$A$5:$A$504,"&gt;="&amp;DATE(YEAR(SETUP!$B$8),MONTH(SETUP!$B$8)+11,1),JOURNAL!$A$5:$A$504,"&lt;="&amp;EOMONTH(SETUP!$B$8,11))</f>
        <v/>
      </c>
      <c r="O27" s="16">
        <f>SUM(C27:N27)</f>
        <v/>
      </c>
    </row>
    <row r="28">
      <c r="A28" t="inlineStr">
        <is>
          <t>4000</t>
        </is>
      </c>
      <c r="B28" t="inlineStr">
        <is>
          <t>Revenue — 20L refill</t>
        </is>
      </c>
      <c r="C28" s="15">
        <f>SUMIFS(JOURNAL!$I$5:$I$504,JOURNAL!$C$5:$C$504,$A28,JOURNAL!$A$5:$A$504,"&gt;="&amp;DATE(YEAR(SETUP!$B$8),MONTH(SETUP!$B$8)+0,1),JOURNAL!$A$5:$A$504,"&lt;="&amp;EOMONTH(SETUP!$B$8,0))-SUMIFS(JOURNAL!$J$5:$J$504,JOURNAL!$C$5:$C$504,$A28,JOURNAL!$A$5:$A$504,"&gt;="&amp;DATE(YEAR(SETUP!$B$8),MONTH(SETUP!$B$8)+0,1),JOURNAL!$A$5:$A$504,"&lt;="&amp;EOMONTH(SETUP!$B$8,0))</f>
        <v/>
      </c>
      <c r="D28" s="15">
        <f>SUMIFS(JOURNAL!$I$5:$I$504,JOURNAL!$C$5:$C$504,$A28,JOURNAL!$A$5:$A$504,"&gt;="&amp;DATE(YEAR(SETUP!$B$8),MONTH(SETUP!$B$8)+1,1),JOURNAL!$A$5:$A$504,"&lt;="&amp;EOMONTH(SETUP!$B$8,1))-SUMIFS(JOURNAL!$J$5:$J$504,JOURNAL!$C$5:$C$504,$A28,JOURNAL!$A$5:$A$504,"&gt;="&amp;DATE(YEAR(SETUP!$B$8),MONTH(SETUP!$B$8)+1,1),JOURNAL!$A$5:$A$504,"&lt;="&amp;EOMONTH(SETUP!$B$8,1))</f>
        <v/>
      </c>
      <c r="E28" s="15">
        <f>SUMIFS(JOURNAL!$I$5:$I$504,JOURNAL!$C$5:$C$504,$A28,JOURNAL!$A$5:$A$504,"&gt;="&amp;DATE(YEAR(SETUP!$B$8),MONTH(SETUP!$B$8)+2,1),JOURNAL!$A$5:$A$504,"&lt;="&amp;EOMONTH(SETUP!$B$8,2))-SUMIFS(JOURNAL!$J$5:$J$504,JOURNAL!$C$5:$C$504,$A28,JOURNAL!$A$5:$A$504,"&gt;="&amp;DATE(YEAR(SETUP!$B$8),MONTH(SETUP!$B$8)+2,1),JOURNAL!$A$5:$A$504,"&lt;="&amp;EOMONTH(SETUP!$B$8,2))</f>
        <v/>
      </c>
      <c r="F28" s="15">
        <f>SUMIFS(JOURNAL!$I$5:$I$504,JOURNAL!$C$5:$C$504,$A28,JOURNAL!$A$5:$A$504,"&gt;="&amp;DATE(YEAR(SETUP!$B$8),MONTH(SETUP!$B$8)+3,1),JOURNAL!$A$5:$A$504,"&lt;="&amp;EOMONTH(SETUP!$B$8,3))-SUMIFS(JOURNAL!$J$5:$J$504,JOURNAL!$C$5:$C$504,$A28,JOURNAL!$A$5:$A$504,"&gt;="&amp;DATE(YEAR(SETUP!$B$8),MONTH(SETUP!$B$8)+3,1),JOURNAL!$A$5:$A$504,"&lt;="&amp;EOMONTH(SETUP!$B$8,3))</f>
        <v/>
      </c>
      <c r="G28" s="15">
        <f>SUMIFS(JOURNAL!$I$5:$I$504,JOURNAL!$C$5:$C$504,$A28,JOURNAL!$A$5:$A$504,"&gt;="&amp;DATE(YEAR(SETUP!$B$8),MONTH(SETUP!$B$8)+4,1),JOURNAL!$A$5:$A$504,"&lt;="&amp;EOMONTH(SETUP!$B$8,4))-SUMIFS(JOURNAL!$J$5:$J$504,JOURNAL!$C$5:$C$504,$A28,JOURNAL!$A$5:$A$504,"&gt;="&amp;DATE(YEAR(SETUP!$B$8),MONTH(SETUP!$B$8)+4,1),JOURNAL!$A$5:$A$504,"&lt;="&amp;EOMONTH(SETUP!$B$8,4))</f>
        <v/>
      </c>
      <c r="H28" s="15">
        <f>SUMIFS(JOURNAL!$I$5:$I$504,JOURNAL!$C$5:$C$504,$A28,JOURNAL!$A$5:$A$504,"&gt;="&amp;DATE(YEAR(SETUP!$B$8),MONTH(SETUP!$B$8)+5,1),JOURNAL!$A$5:$A$504,"&lt;="&amp;EOMONTH(SETUP!$B$8,5))-SUMIFS(JOURNAL!$J$5:$J$504,JOURNAL!$C$5:$C$504,$A28,JOURNAL!$A$5:$A$504,"&gt;="&amp;DATE(YEAR(SETUP!$B$8),MONTH(SETUP!$B$8)+5,1),JOURNAL!$A$5:$A$504,"&lt;="&amp;EOMONTH(SETUP!$B$8,5))</f>
        <v/>
      </c>
      <c r="I28" s="15">
        <f>SUMIFS(JOURNAL!$I$5:$I$504,JOURNAL!$C$5:$C$504,$A28,JOURNAL!$A$5:$A$504,"&gt;="&amp;DATE(YEAR(SETUP!$B$8),MONTH(SETUP!$B$8)+6,1),JOURNAL!$A$5:$A$504,"&lt;="&amp;EOMONTH(SETUP!$B$8,6))-SUMIFS(JOURNAL!$J$5:$J$504,JOURNAL!$C$5:$C$504,$A28,JOURNAL!$A$5:$A$504,"&gt;="&amp;DATE(YEAR(SETUP!$B$8),MONTH(SETUP!$B$8)+6,1),JOURNAL!$A$5:$A$504,"&lt;="&amp;EOMONTH(SETUP!$B$8,6))</f>
        <v/>
      </c>
      <c r="J28" s="15">
        <f>SUMIFS(JOURNAL!$I$5:$I$504,JOURNAL!$C$5:$C$504,$A28,JOURNAL!$A$5:$A$504,"&gt;="&amp;DATE(YEAR(SETUP!$B$8),MONTH(SETUP!$B$8)+7,1),JOURNAL!$A$5:$A$504,"&lt;="&amp;EOMONTH(SETUP!$B$8,7))-SUMIFS(JOURNAL!$J$5:$J$504,JOURNAL!$C$5:$C$504,$A28,JOURNAL!$A$5:$A$504,"&gt;="&amp;DATE(YEAR(SETUP!$B$8),MONTH(SETUP!$B$8)+7,1),JOURNAL!$A$5:$A$504,"&lt;="&amp;EOMONTH(SETUP!$B$8,7))</f>
        <v/>
      </c>
      <c r="K28" s="15">
        <f>SUMIFS(JOURNAL!$I$5:$I$504,JOURNAL!$C$5:$C$504,$A28,JOURNAL!$A$5:$A$504,"&gt;="&amp;DATE(YEAR(SETUP!$B$8),MONTH(SETUP!$B$8)+8,1),JOURNAL!$A$5:$A$504,"&lt;="&amp;EOMONTH(SETUP!$B$8,8))-SUMIFS(JOURNAL!$J$5:$J$504,JOURNAL!$C$5:$C$504,$A28,JOURNAL!$A$5:$A$504,"&gt;="&amp;DATE(YEAR(SETUP!$B$8),MONTH(SETUP!$B$8)+8,1),JOURNAL!$A$5:$A$504,"&lt;="&amp;EOMONTH(SETUP!$B$8,8))</f>
        <v/>
      </c>
      <c r="L28" s="15">
        <f>SUMIFS(JOURNAL!$I$5:$I$504,JOURNAL!$C$5:$C$504,$A28,JOURNAL!$A$5:$A$504,"&gt;="&amp;DATE(YEAR(SETUP!$B$8),MONTH(SETUP!$B$8)+9,1),JOURNAL!$A$5:$A$504,"&lt;="&amp;EOMONTH(SETUP!$B$8,9))-SUMIFS(JOURNAL!$J$5:$J$504,JOURNAL!$C$5:$C$504,$A28,JOURNAL!$A$5:$A$504,"&gt;="&amp;DATE(YEAR(SETUP!$B$8),MONTH(SETUP!$B$8)+9,1),JOURNAL!$A$5:$A$504,"&lt;="&amp;EOMONTH(SETUP!$B$8,9))</f>
        <v/>
      </c>
      <c r="M28" s="15">
        <f>SUMIFS(JOURNAL!$I$5:$I$504,JOURNAL!$C$5:$C$504,$A28,JOURNAL!$A$5:$A$504,"&gt;="&amp;DATE(YEAR(SETUP!$B$8),MONTH(SETUP!$B$8)+10,1),JOURNAL!$A$5:$A$504,"&lt;="&amp;EOMONTH(SETUP!$B$8,10))-SUMIFS(JOURNAL!$J$5:$J$504,JOURNAL!$C$5:$C$504,$A28,JOURNAL!$A$5:$A$504,"&gt;="&amp;DATE(YEAR(SETUP!$B$8),MONTH(SETUP!$B$8)+10,1),JOURNAL!$A$5:$A$504,"&lt;="&amp;EOMONTH(SETUP!$B$8,10))</f>
        <v/>
      </c>
      <c r="N28" s="15">
        <f>SUMIFS(JOURNAL!$I$5:$I$504,JOURNAL!$C$5:$C$504,$A28,JOURNAL!$A$5:$A$504,"&gt;="&amp;DATE(YEAR(SETUP!$B$8),MONTH(SETUP!$B$8)+11,1),JOURNAL!$A$5:$A$504,"&lt;="&amp;EOMONTH(SETUP!$B$8,11))-SUMIFS(JOURNAL!$J$5:$J$504,JOURNAL!$C$5:$C$504,$A28,JOURNAL!$A$5:$A$504,"&gt;="&amp;DATE(YEAR(SETUP!$B$8),MONTH(SETUP!$B$8)+11,1),JOURNAL!$A$5:$A$504,"&lt;="&amp;EOMONTH(SETUP!$B$8,11))</f>
        <v/>
      </c>
      <c r="O28" s="16">
        <f>SUM(C28:N28)</f>
        <v/>
      </c>
    </row>
    <row r="29">
      <c r="A29" t="inlineStr">
        <is>
          <t>4010</t>
        </is>
      </c>
      <c r="B29" t="inlineStr">
        <is>
          <t>Revenue — 20L single-use</t>
        </is>
      </c>
      <c r="C29" s="15">
        <f>SUMIFS(JOURNAL!$I$5:$I$504,JOURNAL!$C$5:$C$504,$A29,JOURNAL!$A$5:$A$504,"&gt;="&amp;DATE(YEAR(SETUP!$B$8),MONTH(SETUP!$B$8)+0,1),JOURNAL!$A$5:$A$504,"&lt;="&amp;EOMONTH(SETUP!$B$8,0))-SUMIFS(JOURNAL!$J$5:$J$504,JOURNAL!$C$5:$C$504,$A29,JOURNAL!$A$5:$A$504,"&gt;="&amp;DATE(YEAR(SETUP!$B$8),MONTH(SETUP!$B$8)+0,1),JOURNAL!$A$5:$A$504,"&lt;="&amp;EOMONTH(SETUP!$B$8,0))</f>
        <v/>
      </c>
      <c r="D29" s="15">
        <f>SUMIFS(JOURNAL!$I$5:$I$504,JOURNAL!$C$5:$C$504,$A29,JOURNAL!$A$5:$A$504,"&gt;="&amp;DATE(YEAR(SETUP!$B$8),MONTH(SETUP!$B$8)+1,1),JOURNAL!$A$5:$A$504,"&lt;="&amp;EOMONTH(SETUP!$B$8,1))-SUMIFS(JOURNAL!$J$5:$J$504,JOURNAL!$C$5:$C$504,$A29,JOURNAL!$A$5:$A$504,"&gt;="&amp;DATE(YEAR(SETUP!$B$8),MONTH(SETUP!$B$8)+1,1),JOURNAL!$A$5:$A$504,"&lt;="&amp;EOMONTH(SETUP!$B$8,1))</f>
        <v/>
      </c>
      <c r="E29" s="15">
        <f>SUMIFS(JOURNAL!$I$5:$I$504,JOURNAL!$C$5:$C$504,$A29,JOURNAL!$A$5:$A$504,"&gt;="&amp;DATE(YEAR(SETUP!$B$8),MONTH(SETUP!$B$8)+2,1),JOURNAL!$A$5:$A$504,"&lt;="&amp;EOMONTH(SETUP!$B$8,2))-SUMIFS(JOURNAL!$J$5:$J$504,JOURNAL!$C$5:$C$504,$A29,JOURNAL!$A$5:$A$504,"&gt;="&amp;DATE(YEAR(SETUP!$B$8),MONTH(SETUP!$B$8)+2,1),JOURNAL!$A$5:$A$504,"&lt;="&amp;EOMONTH(SETUP!$B$8,2))</f>
        <v/>
      </c>
      <c r="F29" s="15">
        <f>SUMIFS(JOURNAL!$I$5:$I$504,JOURNAL!$C$5:$C$504,$A29,JOURNAL!$A$5:$A$504,"&gt;="&amp;DATE(YEAR(SETUP!$B$8),MONTH(SETUP!$B$8)+3,1),JOURNAL!$A$5:$A$504,"&lt;="&amp;EOMONTH(SETUP!$B$8,3))-SUMIFS(JOURNAL!$J$5:$J$504,JOURNAL!$C$5:$C$504,$A29,JOURNAL!$A$5:$A$504,"&gt;="&amp;DATE(YEAR(SETUP!$B$8),MONTH(SETUP!$B$8)+3,1),JOURNAL!$A$5:$A$504,"&lt;="&amp;EOMONTH(SETUP!$B$8,3))</f>
        <v/>
      </c>
      <c r="G29" s="15">
        <f>SUMIFS(JOURNAL!$I$5:$I$504,JOURNAL!$C$5:$C$504,$A29,JOURNAL!$A$5:$A$504,"&gt;="&amp;DATE(YEAR(SETUP!$B$8),MONTH(SETUP!$B$8)+4,1),JOURNAL!$A$5:$A$504,"&lt;="&amp;EOMONTH(SETUP!$B$8,4))-SUMIFS(JOURNAL!$J$5:$J$504,JOURNAL!$C$5:$C$504,$A29,JOURNAL!$A$5:$A$504,"&gt;="&amp;DATE(YEAR(SETUP!$B$8),MONTH(SETUP!$B$8)+4,1),JOURNAL!$A$5:$A$504,"&lt;="&amp;EOMONTH(SETUP!$B$8,4))</f>
        <v/>
      </c>
      <c r="H29" s="15">
        <f>SUMIFS(JOURNAL!$I$5:$I$504,JOURNAL!$C$5:$C$504,$A29,JOURNAL!$A$5:$A$504,"&gt;="&amp;DATE(YEAR(SETUP!$B$8),MONTH(SETUP!$B$8)+5,1),JOURNAL!$A$5:$A$504,"&lt;="&amp;EOMONTH(SETUP!$B$8,5))-SUMIFS(JOURNAL!$J$5:$J$504,JOURNAL!$C$5:$C$504,$A29,JOURNAL!$A$5:$A$504,"&gt;="&amp;DATE(YEAR(SETUP!$B$8),MONTH(SETUP!$B$8)+5,1),JOURNAL!$A$5:$A$504,"&lt;="&amp;EOMONTH(SETUP!$B$8,5))</f>
        <v/>
      </c>
      <c r="I29" s="15">
        <f>SUMIFS(JOURNAL!$I$5:$I$504,JOURNAL!$C$5:$C$504,$A29,JOURNAL!$A$5:$A$504,"&gt;="&amp;DATE(YEAR(SETUP!$B$8),MONTH(SETUP!$B$8)+6,1),JOURNAL!$A$5:$A$504,"&lt;="&amp;EOMONTH(SETUP!$B$8,6))-SUMIFS(JOURNAL!$J$5:$J$504,JOURNAL!$C$5:$C$504,$A29,JOURNAL!$A$5:$A$504,"&gt;="&amp;DATE(YEAR(SETUP!$B$8),MONTH(SETUP!$B$8)+6,1),JOURNAL!$A$5:$A$504,"&lt;="&amp;EOMONTH(SETUP!$B$8,6))</f>
        <v/>
      </c>
      <c r="J29" s="15">
        <f>SUMIFS(JOURNAL!$I$5:$I$504,JOURNAL!$C$5:$C$504,$A29,JOURNAL!$A$5:$A$504,"&gt;="&amp;DATE(YEAR(SETUP!$B$8),MONTH(SETUP!$B$8)+7,1),JOURNAL!$A$5:$A$504,"&lt;="&amp;EOMONTH(SETUP!$B$8,7))-SUMIFS(JOURNAL!$J$5:$J$504,JOURNAL!$C$5:$C$504,$A29,JOURNAL!$A$5:$A$504,"&gt;="&amp;DATE(YEAR(SETUP!$B$8),MONTH(SETUP!$B$8)+7,1),JOURNAL!$A$5:$A$504,"&lt;="&amp;EOMONTH(SETUP!$B$8,7))</f>
        <v/>
      </c>
      <c r="K29" s="15">
        <f>SUMIFS(JOURNAL!$I$5:$I$504,JOURNAL!$C$5:$C$504,$A29,JOURNAL!$A$5:$A$504,"&gt;="&amp;DATE(YEAR(SETUP!$B$8),MONTH(SETUP!$B$8)+8,1),JOURNAL!$A$5:$A$504,"&lt;="&amp;EOMONTH(SETUP!$B$8,8))-SUMIFS(JOURNAL!$J$5:$J$504,JOURNAL!$C$5:$C$504,$A29,JOURNAL!$A$5:$A$504,"&gt;="&amp;DATE(YEAR(SETUP!$B$8),MONTH(SETUP!$B$8)+8,1),JOURNAL!$A$5:$A$504,"&lt;="&amp;EOMONTH(SETUP!$B$8,8))</f>
        <v/>
      </c>
      <c r="L29" s="15">
        <f>SUMIFS(JOURNAL!$I$5:$I$504,JOURNAL!$C$5:$C$504,$A29,JOURNAL!$A$5:$A$504,"&gt;="&amp;DATE(YEAR(SETUP!$B$8),MONTH(SETUP!$B$8)+9,1),JOURNAL!$A$5:$A$504,"&lt;="&amp;EOMONTH(SETUP!$B$8,9))-SUMIFS(JOURNAL!$J$5:$J$504,JOURNAL!$C$5:$C$504,$A29,JOURNAL!$A$5:$A$504,"&gt;="&amp;DATE(YEAR(SETUP!$B$8),MONTH(SETUP!$B$8)+9,1),JOURNAL!$A$5:$A$504,"&lt;="&amp;EOMONTH(SETUP!$B$8,9))</f>
        <v/>
      </c>
      <c r="M29" s="15">
        <f>SUMIFS(JOURNAL!$I$5:$I$504,JOURNAL!$C$5:$C$504,$A29,JOURNAL!$A$5:$A$504,"&gt;="&amp;DATE(YEAR(SETUP!$B$8),MONTH(SETUP!$B$8)+10,1),JOURNAL!$A$5:$A$504,"&lt;="&amp;EOMONTH(SETUP!$B$8,10))-SUMIFS(JOURNAL!$J$5:$J$504,JOURNAL!$C$5:$C$504,$A29,JOURNAL!$A$5:$A$504,"&gt;="&amp;DATE(YEAR(SETUP!$B$8),MONTH(SETUP!$B$8)+10,1),JOURNAL!$A$5:$A$504,"&lt;="&amp;EOMONTH(SETUP!$B$8,10))</f>
        <v/>
      </c>
      <c r="N29" s="15">
        <f>SUMIFS(JOURNAL!$I$5:$I$504,JOURNAL!$C$5:$C$504,$A29,JOURNAL!$A$5:$A$504,"&gt;="&amp;DATE(YEAR(SETUP!$B$8),MONTH(SETUP!$B$8)+11,1),JOURNAL!$A$5:$A$504,"&lt;="&amp;EOMONTH(SETUP!$B$8,11))-SUMIFS(JOURNAL!$J$5:$J$504,JOURNAL!$C$5:$C$504,$A29,JOURNAL!$A$5:$A$504,"&gt;="&amp;DATE(YEAR(SETUP!$B$8),MONTH(SETUP!$B$8)+11,1),JOURNAL!$A$5:$A$504,"&lt;="&amp;EOMONTH(SETUP!$B$8,11))</f>
        <v/>
      </c>
      <c r="O29" s="16">
        <f>SUM(C29:N29)</f>
        <v/>
      </c>
    </row>
    <row r="30">
      <c r="A30" t="inlineStr">
        <is>
          <t>4020</t>
        </is>
      </c>
      <c r="B30" t="inlineStr">
        <is>
          <t>Revenue — 5L single-use</t>
        </is>
      </c>
      <c r="C30" s="15">
        <f>SUMIFS(JOURNAL!$I$5:$I$504,JOURNAL!$C$5:$C$504,$A30,JOURNAL!$A$5:$A$504,"&gt;="&amp;DATE(YEAR(SETUP!$B$8),MONTH(SETUP!$B$8)+0,1),JOURNAL!$A$5:$A$504,"&lt;="&amp;EOMONTH(SETUP!$B$8,0))-SUMIFS(JOURNAL!$J$5:$J$504,JOURNAL!$C$5:$C$504,$A30,JOURNAL!$A$5:$A$504,"&gt;="&amp;DATE(YEAR(SETUP!$B$8),MONTH(SETUP!$B$8)+0,1),JOURNAL!$A$5:$A$504,"&lt;="&amp;EOMONTH(SETUP!$B$8,0))</f>
        <v/>
      </c>
      <c r="D30" s="15">
        <f>SUMIFS(JOURNAL!$I$5:$I$504,JOURNAL!$C$5:$C$504,$A30,JOURNAL!$A$5:$A$504,"&gt;="&amp;DATE(YEAR(SETUP!$B$8),MONTH(SETUP!$B$8)+1,1),JOURNAL!$A$5:$A$504,"&lt;="&amp;EOMONTH(SETUP!$B$8,1))-SUMIFS(JOURNAL!$J$5:$J$504,JOURNAL!$C$5:$C$504,$A30,JOURNAL!$A$5:$A$504,"&gt;="&amp;DATE(YEAR(SETUP!$B$8),MONTH(SETUP!$B$8)+1,1),JOURNAL!$A$5:$A$504,"&lt;="&amp;EOMONTH(SETUP!$B$8,1))</f>
        <v/>
      </c>
      <c r="E30" s="15">
        <f>SUMIFS(JOURNAL!$I$5:$I$504,JOURNAL!$C$5:$C$504,$A30,JOURNAL!$A$5:$A$504,"&gt;="&amp;DATE(YEAR(SETUP!$B$8),MONTH(SETUP!$B$8)+2,1),JOURNAL!$A$5:$A$504,"&lt;="&amp;EOMONTH(SETUP!$B$8,2))-SUMIFS(JOURNAL!$J$5:$J$504,JOURNAL!$C$5:$C$504,$A30,JOURNAL!$A$5:$A$504,"&gt;="&amp;DATE(YEAR(SETUP!$B$8),MONTH(SETUP!$B$8)+2,1),JOURNAL!$A$5:$A$504,"&lt;="&amp;EOMONTH(SETUP!$B$8,2))</f>
        <v/>
      </c>
      <c r="F30" s="15">
        <f>SUMIFS(JOURNAL!$I$5:$I$504,JOURNAL!$C$5:$C$504,$A30,JOURNAL!$A$5:$A$504,"&gt;="&amp;DATE(YEAR(SETUP!$B$8),MONTH(SETUP!$B$8)+3,1),JOURNAL!$A$5:$A$504,"&lt;="&amp;EOMONTH(SETUP!$B$8,3))-SUMIFS(JOURNAL!$J$5:$J$504,JOURNAL!$C$5:$C$504,$A30,JOURNAL!$A$5:$A$504,"&gt;="&amp;DATE(YEAR(SETUP!$B$8),MONTH(SETUP!$B$8)+3,1),JOURNAL!$A$5:$A$504,"&lt;="&amp;EOMONTH(SETUP!$B$8,3))</f>
        <v/>
      </c>
      <c r="G30" s="15">
        <f>SUMIFS(JOURNAL!$I$5:$I$504,JOURNAL!$C$5:$C$504,$A30,JOURNAL!$A$5:$A$504,"&gt;="&amp;DATE(YEAR(SETUP!$B$8),MONTH(SETUP!$B$8)+4,1),JOURNAL!$A$5:$A$504,"&lt;="&amp;EOMONTH(SETUP!$B$8,4))-SUMIFS(JOURNAL!$J$5:$J$504,JOURNAL!$C$5:$C$504,$A30,JOURNAL!$A$5:$A$504,"&gt;="&amp;DATE(YEAR(SETUP!$B$8),MONTH(SETUP!$B$8)+4,1),JOURNAL!$A$5:$A$504,"&lt;="&amp;EOMONTH(SETUP!$B$8,4))</f>
        <v/>
      </c>
      <c r="H30" s="15">
        <f>SUMIFS(JOURNAL!$I$5:$I$504,JOURNAL!$C$5:$C$504,$A30,JOURNAL!$A$5:$A$504,"&gt;="&amp;DATE(YEAR(SETUP!$B$8),MONTH(SETUP!$B$8)+5,1),JOURNAL!$A$5:$A$504,"&lt;="&amp;EOMONTH(SETUP!$B$8,5))-SUMIFS(JOURNAL!$J$5:$J$504,JOURNAL!$C$5:$C$504,$A30,JOURNAL!$A$5:$A$504,"&gt;="&amp;DATE(YEAR(SETUP!$B$8),MONTH(SETUP!$B$8)+5,1),JOURNAL!$A$5:$A$504,"&lt;="&amp;EOMONTH(SETUP!$B$8,5))</f>
        <v/>
      </c>
      <c r="I30" s="15">
        <f>SUMIFS(JOURNAL!$I$5:$I$504,JOURNAL!$C$5:$C$504,$A30,JOURNAL!$A$5:$A$504,"&gt;="&amp;DATE(YEAR(SETUP!$B$8),MONTH(SETUP!$B$8)+6,1),JOURNAL!$A$5:$A$504,"&lt;="&amp;EOMONTH(SETUP!$B$8,6))-SUMIFS(JOURNAL!$J$5:$J$504,JOURNAL!$C$5:$C$504,$A30,JOURNAL!$A$5:$A$504,"&gt;="&amp;DATE(YEAR(SETUP!$B$8),MONTH(SETUP!$B$8)+6,1),JOURNAL!$A$5:$A$504,"&lt;="&amp;EOMONTH(SETUP!$B$8,6))</f>
        <v/>
      </c>
      <c r="J30" s="15">
        <f>SUMIFS(JOURNAL!$I$5:$I$504,JOURNAL!$C$5:$C$504,$A30,JOURNAL!$A$5:$A$504,"&gt;="&amp;DATE(YEAR(SETUP!$B$8),MONTH(SETUP!$B$8)+7,1),JOURNAL!$A$5:$A$504,"&lt;="&amp;EOMONTH(SETUP!$B$8,7))-SUMIFS(JOURNAL!$J$5:$J$504,JOURNAL!$C$5:$C$504,$A30,JOURNAL!$A$5:$A$504,"&gt;="&amp;DATE(YEAR(SETUP!$B$8),MONTH(SETUP!$B$8)+7,1),JOURNAL!$A$5:$A$504,"&lt;="&amp;EOMONTH(SETUP!$B$8,7))</f>
        <v/>
      </c>
      <c r="K30" s="15">
        <f>SUMIFS(JOURNAL!$I$5:$I$504,JOURNAL!$C$5:$C$504,$A30,JOURNAL!$A$5:$A$504,"&gt;="&amp;DATE(YEAR(SETUP!$B$8),MONTH(SETUP!$B$8)+8,1),JOURNAL!$A$5:$A$504,"&lt;="&amp;EOMONTH(SETUP!$B$8,8))-SUMIFS(JOURNAL!$J$5:$J$504,JOURNAL!$C$5:$C$504,$A30,JOURNAL!$A$5:$A$504,"&gt;="&amp;DATE(YEAR(SETUP!$B$8),MONTH(SETUP!$B$8)+8,1),JOURNAL!$A$5:$A$504,"&lt;="&amp;EOMONTH(SETUP!$B$8,8))</f>
        <v/>
      </c>
      <c r="L30" s="15">
        <f>SUMIFS(JOURNAL!$I$5:$I$504,JOURNAL!$C$5:$C$504,$A30,JOURNAL!$A$5:$A$504,"&gt;="&amp;DATE(YEAR(SETUP!$B$8),MONTH(SETUP!$B$8)+9,1),JOURNAL!$A$5:$A$504,"&lt;="&amp;EOMONTH(SETUP!$B$8,9))-SUMIFS(JOURNAL!$J$5:$J$504,JOURNAL!$C$5:$C$504,$A30,JOURNAL!$A$5:$A$504,"&gt;="&amp;DATE(YEAR(SETUP!$B$8),MONTH(SETUP!$B$8)+9,1),JOURNAL!$A$5:$A$504,"&lt;="&amp;EOMONTH(SETUP!$B$8,9))</f>
        <v/>
      </c>
      <c r="M30" s="15">
        <f>SUMIFS(JOURNAL!$I$5:$I$504,JOURNAL!$C$5:$C$504,$A30,JOURNAL!$A$5:$A$504,"&gt;="&amp;DATE(YEAR(SETUP!$B$8),MONTH(SETUP!$B$8)+10,1),JOURNAL!$A$5:$A$504,"&lt;="&amp;EOMONTH(SETUP!$B$8,10))-SUMIFS(JOURNAL!$J$5:$J$504,JOURNAL!$C$5:$C$504,$A30,JOURNAL!$A$5:$A$504,"&gt;="&amp;DATE(YEAR(SETUP!$B$8),MONTH(SETUP!$B$8)+10,1),JOURNAL!$A$5:$A$504,"&lt;="&amp;EOMONTH(SETUP!$B$8,10))</f>
        <v/>
      </c>
      <c r="N30" s="15">
        <f>SUMIFS(JOURNAL!$I$5:$I$504,JOURNAL!$C$5:$C$504,$A30,JOURNAL!$A$5:$A$504,"&gt;="&amp;DATE(YEAR(SETUP!$B$8),MONTH(SETUP!$B$8)+11,1),JOURNAL!$A$5:$A$504,"&lt;="&amp;EOMONTH(SETUP!$B$8,11))-SUMIFS(JOURNAL!$J$5:$J$504,JOURNAL!$C$5:$C$504,$A30,JOURNAL!$A$5:$A$504,"&gt;="&amp;DATE(YEAR(SETUP!$B$8),MONTH(SETUP!$B$8)+11,1),JOURNAL!$A$5:$A$504,"&lt;="&amp;EOMONTH(SETUP!$B$8,11))</f>
        <v/>
      </c>
      <c r="O30" s="16">
        <f>SUM(C30:N30)</f>
        <v/>
      </c>
    </row>
    <row r="31">
      <c r="A31" t="inlineStr">
        <is>
          <t>4100</t>
        </is>
      </c>
      <c r="B31" t="inlineStr">
        <is>
          <t>Revenue — delivery charges</t>
        </is>
      </c>
      <c r="C31" s="15">
        <f>SUMIFS(JOURNAL!$I$5:$I$504,JOURNAL!$C$5:$C$504,$A31,JOURNAL!$A$5:$A$504,"&gt;="&amp;DATE(YEAR(SETUP!$B$8),MONTH(SETUP!$B$8)+0,1),JOURNAL!$A$5:$A$504,"&lt;="&amp;EOMONTH(SETUP!$B$8,0))-SUMIFS(JOURNAL!$J$5:$J$504,JOURNAL!$C$5:$C$504,$A31,JOURNAL!$A$5:$A$504,"&gt;="&amp;DATE(YEAR(SETUP!$B$8),MONTH(SETUP!$B$8)+0,1),JOURNAL!$A$5:$A$504,"&lt;="&amp;EOMONTH(SETUP!$B$8,0))</f>
        <v/>
      </c>
      <c r="D31" s="15">
        <f>SUMIFS(JOURNAL!$I$5:$I$504,JOURNAL!$C$5:$C$504,$A31,JOURNAL!$A$5:$A$504,"&gt;="&amp;DATE(YEAR(SETUP!$B$8),MONTH(SETUP!$B$8)+1,1),JOURNAL!$A$5:$A$504,"&lt;="&amp;EOMONTH(SETUP!$B$8,1))-SUMIFS(JOURNAL!$J$5:$J$504,JOURNAL!$C$5:$C$504,$A31,JOURNAL!$A$5:$A$504,"&gt;="&amp;DATE(YEAR(SETUP!$B$8),MONTH(SETUP!$B$8)+1,1),JOURNAL!$A$5:$A$504,"&lt;="&amp;EOMONTH(SETUP!$B$8,1))</f>
        <v/>
      </c>
      <c r="E31" s="15">
        <f>SUMIFS(JOURNAL!$I$5:$I$504,JOURNAL!$C$5:$C$504,$A31,JOURNAL!$A$5:$A$504,"&gt;="&amp;DATE(YEAR(SETUP!$B$8),MONTH(SETUP!$B$8)+2,1),JOURNAL!$A$5:$A$504,"&lt;="&amp;EOMONTH(SETUP!$B$8,2))-SUMIFS(JOURNAL!$J$5:$J$504,JOURNAL!$C$5:$C$504,$A31,JOURNAL!$A$5:$A$504,"&gt;="&amp;DATE(YEAR(SETUP!$B$8),MONTH(SETUP!$B$8)+2,1),JOURNAL!$A$5:$A$504,"&lt;="&amp;EOMONTH(SETUP!$B$8,2))</f>
        <v/>
      </c>
      <c r="F31" s="15">
        <f>SUMIFS(JOURNAL!$I$5:$I$504,JOURNAL!$C$5:$C$504,$A31,JOURNAL!$A$5:$A$504,"&gt;="&amp;DATE(YEAR(SETUP!$B$8),MONTH(SETUP!$B$8)+3,1),JOURNAL!$A$5:$A$504,"&lt;="&amp;EOMONTH(SETUP!$B$8,3))-SUMIFS(JOURNAL!$J$5:$J$504,JOURNAL!$C$5:$C$504,$A31,JOURNAL!$A$5:$A$504,"&gt;="&amp;DATE(YEAR(SETUP!$B$8),MONTH(SETUP!$B$8)+3,1),JOURNAL!$A$5:$A$504,"&lt;="&amp;EOMONTH(SETUP!$B$8,3))</f>
        <v/>
      </c>
      <c r="G31" s="15">
        <f>SUMIFS(JOURNAL!$I$5:$I$504,JOURNAL!$C$5:$C$504,$A31,JOURNAL!$A$5:$A$504,"&gt;="&amp;DATE(YEAR(SETUP!$B$8),MONTH(SETUP!$B$8)+4,1),JOURNAL!$A$5:$A$504,"&lt;="&amp;EOMONTH(SETUP!$B$8,4))-SUMIFS(JOURNAL!$J$5:$J$504,JOURNAL!$C$5:$C$504,$A31,JOURNAL!$A$5:$A$504,"&gt;="&amp;DATE(YEAR(SETUP!$B$8),MONTH(SETUP!$B$8)+4,1),JOURNAL!$A$5:$A$504,"&lt;="&amp;EOMONTH(SETUP!$B$8,4))</f>
        <v/>
      </c>
      <c r="H31" s="15">
        <f>SUMIFS(JOURNAL!$I$5:$I$504,JOURNAL!$C$5:$C$504,$A31,JOURNAL!$A$5:$A$504,"&gt;="&amp;DATE(YEAR(SETUP!$B$8),MONTH(SETUP!$B$8)+5,1),JOURNAL!$A$5:$A$504,"&lt;="&amp;EOMONTH(SETUP!$B$8,5))-SUMIFS(JOURNAL!$J$5:$J$504,JOURNAL!$C$5:$C$504,$A31,JOURNAL!$A$5:$A$504,"&gt;="&amp;DATE(YEAR(SETUP!$B$8),MONTH(SETUP!$B$8)+5,1),JOURNAL!$A$5:$A$504,"&lt;="&amp;EOMONTH(SETUP!$B$8,5))</f>
        <v/>
      </c>
      <c r="I31" s="15">
        <f>SUMIFS(JOURNAL!$I$5:$I$504,JOURNAL!$C$5:$C$504,$A31,JOURNAL!$A$5:$A$504,"&gt;="&amp;DATE(YEAR(SETUP!$B$8),MONTH(SETUP!$B$8)+6,1),JOURNAL!$A$5:$A$504,"&lt;="&amp;EOMONTH(SETUP!$B$8,6))-SUMIFS(JOURNAL!$J$5:$J$504,JOURNAL!$C$5:$C$504,$A31,JOURNAL!$A$5:$A$504,"&gt;="&amp;DATE(YEAR(SETUP!$B$8),MONTH(SETUP!$B$8)+6,1),JOURNAL!$A$5:$A$504,"&lt;="&amp;EOMONTH(SETUP!$B$8,6))</f>
        <v/>
      </c>
      <c r="J31" s="15">
        <f>SUMIFS(JOURNAL!$I$5:$I$504,JOURNAL!$C$5:$C$504,$A31,JOURNAL!$A$5:$A$504,"&gt;="&amp;DATE(YEAR(SETUP!$B$8),MONTH(SETUP!$B$8)+7,1),JOURNAL!$A$5:$A$504,"&lt;="&amp;EOMONTH(SETUP!$B$8,7))-SUMIFS(JOURNAL!$J$5:$J$504,JOURNAL!$C$5:$C$504,$A31,JOURNAL!$A$5:$A$504,"&gt;="&amp;DATE(YEAR(SETUP!$B$8),MONTH(SETUP!$B$8)+7,1),JOURNAL!$A$5:$A$504,"&lt;="&amp;EOMONTH(SETUP!$B$8,7))</f>
        <v/>
      </c>
      <c r="K31" s="15">
        <f>SUMIFS(JOURNAL!$I$5:$I$504,JOURNAL!$C$5:$C$504,$A31,JOURNAL!$A$5:$A$504,"&gt;="&amp;DATE(YEAR(SETUP!$B$8),MONTH(SETUP!$B$8)+8,1),JOURNAL!$A$5:$A$504,"&lt;="&amp;EOMONTH(SETUP!$B$8,8))-SUMIFS(JOURNAL!$J$5:$J$504,JOURNAL!$C$5:$C$504,$A31,JOURNAL!$A$5:$A$504,"&gt;="&amp;DATE(YEAR(SETUP!$B$8),MONTH(SETUP!$B$8)+8,1),JOURNAL!$A$5:$A$504,"&lt;="&amp;EOMONTH(SETUP!$B$8,8))</f>
        <v/>
      </c>
      <c r="L31" s="15">
        <f>SUMIFS(JOURNAL!$I$5:$I$504,JOURNAL!$C$5:$C$504,$A31,JOURNAL!$A$5:$A$504,"&gt;="&amp;DATE(YEAR(SETUP!$B$8),MONTH(SETUP!$B$8)+9,1),JOURNAL!$A$5:$A$504,"&lt;="&amp;EOMONTH(SETUP!$B$8,9))-SUMIFS(JOURNAL!$J$5:$J$504,JOURNAL!$C$5:$C$504,$A31,JOURNAL!$A$5:$A$504,"&gt;="&amp;DATE(YEAR(SETUP!$B$8),MONTH(SETUP!$B$8)+9,1),JOURNAL!$A$5:$A$504,"&lt;="&amp;EOMONTH(SETUP!$B$8,9))</f>
        <v/>
      </c>
      <c r="M31" s="15">
        <f>SUMIFS(JOURNAL!$I$5:$I$504,JOURNAL!$C$5:$C$504,$A31,JOURNAL!$A$5:$A$504,"&gt;="&amp;DATE(YEAR(SETUP!$B$8),MONTH(SETUP!$B$8)+10,1),JOURNAL!$A$5:$A$504,"&lt;="&amp;EOMONTH(SETUP!$B$8,10))-SUMIFS(JOURNAL!$J$5:$J$504,JOURNAL!$C$5:$C$504,$A31,JOURNAL!$A$5:$A$504,"&gt;="&amp;DATE(YEAR(SETUP!$B$8),MONTH(SETUP!$B$8)+10,1),JOURNAL!$A$5:$A$504,"&lt;="&amp;EOMONTH(SETUP!$B$8,10))</f>
        <v/>
      </c>
      <c r="N31" s="15">
        <f>SUMIFS(JOURNAL!$I$5:$I$504,JOURNAL!$C$5:$C$504,$A31,JOURNAL!$A$5:$A$504,"&gt;="&amp;DATE(YEAR(SETUP!$B$8),MONTH(SETUP!$B$8)+11,1),JOURNAL!$A$5:$A$504,"&lt;="&amp;EOMONTH(SETUP!$B$8,11))-SUMIFS(JOURNAL!$J$5:$J$504,JOURNAL!$C$5:$C$504,$A31,JOURNAL!$A$5:$A$504,"&gt;="&amp;DATE(YEAR(SETUP!$B$8),MONTH(SETUP!$B$8)+11,1),JOURNAL!$A$5:$A$504,"&lt;="&amp;EOMONTH(SETUP!$B$8,11))</f>
        <v/>
      </c>
      <c r="O31" s="16">
        <f>SUM(C31:N31)</f>
        <v/>
      </c>
    </row>
    <row r="32">
      <c r="A32" t="inlineStr">
        <is>
          <t>5000</t>
        </is>
      </c>
      <c r="B32" t="inlineStr">
        <is>
          <t>COGS — preforms and bottles</t>
        </is>
      </c>
      <c r="C32" s="15">
        <f>SUMIFS(JOURNAL!$I$5:$I$504,JOURNAL!$C$5:$C$504,$A32,JOURNAL!$A$5:$A$504,"&gt;="&amp;DATE(YEAR(SETUP!$B$8),MONTH(SETUP!$B$8)+0,1),JOURNAL!$A$5:$A$504,"&lt;="&amp;EOMONTH(SETUP!$B$8,0))-SUMIFS(JOURNAL!$J$5:$J$504,JOURNAL!$C$5:$C$504,$A32,JOURNAL!$A$5:$A$504,"&gt;="&amp;DATE(YEAR(SETUP!$B$8),MONTH(SETUP!$B$8)+0,1),JOURNAL!$A$5:$A$504,"&lt;="&amp;EOMONTH(SETUP!$B$8,0))</f>
        <v/>
      </c>
      <c r="D32" s="15">
        <f>SUMIFS(JOURNAL!$I$5:$I$504,JOURNAL!$C$5:$C$504,$A32,JOURNAL!$A$5:$A$504,"&gt;="&amp;DATE(YEAR(SETUP!$B$8),MONTH(SETUP!$B$8)+1,1),JOURNAL!$A$5:$A$504,"&lt;="&amp;EOMONTH(SETUP!$B$8,1))-SUMIFS(JOURNAL!$J$5:$J$504,JOURNAL!$C$5:$C$504,$A32,JOURNAL!$A$5:$A$504,"&gt;="&amp;DATE(YEAR(SETUP!$B$8),MONTH(SETUP!$B$8)+1,1),JOURNAL!$A$5:$A$504,"&lt;="&amp;EOMONTH(SETUP!$B$8,1))</f>
        <v/>
      </c>
      <c r="E32" s="15">
        <f>SUMIFS(JOURNAL!$I$5:$I$504,JOURNAL!$C$5:$C$504,$A32,JOURNAL!$A$5:$A$504,"&gt;="&amp;DATE(YEAR(SETUP!$B$8),MONTH(SETUP!$B$8)+2,1),JOURNAL!$A$5:$A$504,"&lt;="&amp;EOMONTH(SETUP!$B$8,2))-SUMIFS(JOURNAL!$J$5:$J$504,JOURNAL!$C$5:$C$504,$A32,JOURNAL!$A$5:$A$504,"&gt;="&amp;DATE(YEAR(SETUP!$B$8),MONTH(SETUP!$B$8)+2,1),JOURNAL!$A$5:$A$504,"&lt;="&amp;EOMONTH(SETUP!$B$8,2))</f>
        <v/>
      </c>
      <c r="F32" s="15">
        <f>SUMIFS(JOURNAL!$I$5:$I$504,JOURNAL!$C$5:$C$504,$A32,JOURNAL!$A$5:$A$504,"&gt;="&amp;DATE(YEAR(SETUP!$B$8),MONTH(SETUP!$B$8)+3,1),JOURNAL!$A$5:$A$504,"&lt;="&amp;EOMONTH(SETUP!$B$8,3))-SUMIFS(JOURNAL!$J$5:$J$504,JOURNAL!$C$5:$C$504,$A32,JOURNAL!$A$5:$A$504,"&gt;="&amp;DATE(YEAR(SETUP!$B$8),MONTH(SETUP!$B$8)+3,1),JOURNAL!$A$5:$A$504,"&lt;="&amp;EOMONTH(SETUP!$B$8,3))</f>
        <v/>
      </c>
      <c r="G32" s="15">
        <f>SUMIFS(JOURNAL!$I$5:$I$504,JOURNAL!$C$5:$C$504,$A32,JOURNAL!$A$5:$A$504,"&gt;="&amp;DATE(YEAR(SETUP!$B$8),MONTH(SETUP!$B$8)+4,1),JOURNAL!$A$5:$A$504,"&lt;="&amp;EOMONTH(SETUP!$B$8,4))-SUMIFS(JOURNAL!$J$5:$J$504,JOURNAL!$C$5:$C$504,$A32,JOURNAL!$A$5:$A$504,"&gt;="&amp;DATE(YEAR(SETUP!$B$8),MONTH(SETUP!$B$8)+4,1),JOURNAL!$A$5:$A$504,"&lt;="&amp;EOMONTH(SETUP!$B$8,4))</f>
        <v/>
      </c>
      <c r="H32" s="15">
        <f>SUMIFS(JOURNAL!$I$5:$I$504,JOURNAL!$C$5:$C$504,$A32,JOURNAL!$A$5:$A$504,"&gt;="&amp;DATE(YEAR(SETUP!$B$8),MONTH(SETUP!$B$8)+5,1),JOURNAL!$A$5:$A$504,"&lt;="&amp;EOMONTH(SETUP!$B$8,5))-SUMIFS(JOURNAL!$J$5:$J$504,JOURNAL!$C$5:$C$504,$A32,JOURNAL!$A$5:$A$504,"&gt;="&amp;DATE(YEAR(SETUP!$B$8),MONTH(SETUP!$B$8)+5,1),JOURNAL!$A$5:$A$504,"&lt;="&amp;EOMONTH(SETUP!$B$8,5))</f>
        <v/>
      </c>
      <c r="I32" s="15">
        <f>SUMIFS(JOURNAL!$I$5:$I$504,JOURNAL!$C$5:$C$504,$A32,JOURNAL!$A$5:$A$504,"&gt;="&amp;DATE(YEAR(SETUP!$B$8),MONTH(SETUP!$B$8)+6,1),JOURNAL!$A$5:$A$504,"&lt;="&amp;EOMONTH(SETUP!$B$8,6))-SUMIFS(JOURNAL!$J$5:$J$504,JOURNAL!$C$5:$C$504,$A32,JOURNAL!$A$5:$A$504,"&gt;="&amp;DATE(YEAR(SETUP!$B$8),MONTH(SETUP!$B$8)+6,1),JOURNAL!$A$5:$A$504,"&lt;="&amp;EOMONTH(SETUP!$B$8,6))</f>
        <v/>
      </c>
      <c r="J32" s="15">
        <f>SUMIFS(JOURNAL!$I$5:$I$504,JOURNAL!$C$5:$C$504,$A32,JOURNAL!$A$5:$A$504,"&gt;="&amp;DATE(YEAR(SETUP!$B$8),MONTH(SETUP!$B$8)+7,1),JOURNAL!$A$5:$A$504,"&lt;="&amp;EOMONTH(SETUP!$B$8,7))-SUMIFS(JOURNAL!$J$5:$J$504,JOURNAL!$C$5:$C$504,$A32,JOURNAL!$A$5:$A$504,"&gt;="&amp;DATE(YEAR(SETUP!$B$8),MONTH(SETUP!$B$8)+7,1),JOURNAL!$A$5:$A$504,"&lt;="&amp;EOMONTH(SETUP!$B$8,7))</f>
        <v/>
      </c>
      <c r="K32" s="15">
        <f>SUMIFS(JOURNAL!$I$5:$I$504,JOURNAL!$C$5:$C$504,$A32,JOURNAL!$A$5:$A$504,"&gt;="&amp;DATE(YEAR(SETUP!$B$8),MONTH(SETUP!$B$8)+8,1),JOURNAL!$A$5:$A$504,"&lt;="&amp;EOMONTH(SETUP!$B$8,8))-SUMIFS(JOURNAL!$J$5:$J$504,JOURNAL!$C$5:$C$504,$A32,JOURNAL!$A$5:$A$504,"&gt;="&amp;DATE(YEAR(SETUP!$B$8),MONTH(SETUP!$B$8)+8,1),JOURNAL!$A$5:$A$504,"&lt;="&amp;EOMONTH(SETUP!$B$8,8))</f>
        <v/>
      </c>
      <c r="L32" s="15">
        <f>SUMIFS(JOURNAL!$I$5:$I$504,JOURNAL!$C$5:$C$504,$A32,JOURNAL!$A$5:$A$504,"&gt;="&amp;DATE(YEAR(SETUP!$B$8),MONTH(SETUP!$B$8)+9,1),JOURNAL!$A$5:$A$504,"&lt;="&amp;EOMONTH(SETUP!$B$8,9))-SUMIFS(JOURNAL!$J$5:$J$504,JOURNAL!$C$5:$C$504,$A32,JOURNAL!$A$5:$A$504,"&gt;="&amp;DATE(YEAR(SETUP!$B$8),MONTH(SETUP!$B$8)+9,1),JOURNAL!$A$5:$A$504,"&lt;="&amp;EOMONTH(SETUP!$B$8,9))</f>
        <v/>
      </c>
      <c r="M32" s="15">
        <f>SUMIFS(JOURNAL!$I$5:$I$504,JOURNAL!$C$5:$C$504,$A32,JOURNAL!$A$5:$A$504,"&gt;="&amp;DATE(YEAR(SETUP!$B$8),MONTH(SETUP!$B$8)+10,1),JOURNAL!$A$5:$A$504,"&lt;="&amp;EOMONTH(SETUP!$B$8,10))-SUMIFS(JOURNAL!$J$5:$J$504,JOURNAL!$C$5:$C$504,$A32,JOURNAL!$A$5:$A$504,"&gt;="&amp;DATE(YEAR(SETUP!$B$8),MONTH(SETUP!$B$8)+10,1),JOURNAL!$A$5:$A$504,"&lt;="&amp;EOMONTH(SETUP!$B$8,10))</f>
        <v/>
      </c>
      <c r="N32" s="15">
        <f>SUMIFS(JOURNAL!$I$5:$I$504,JOURNAL!$C$5:$C$504,$A32,JOURNAL!$A$5:$A$504,"&gt;="&amp;DATE(YEAR(SETUP!$B$8),MONTH(SETUP!$B$8)+11,1),JOURNAL!$A$5:$A$504,"&lt;="&amp;EOMONTH(SETUP!$B$8,11))-SUMIFS(JOURNAL!$J$5:$J$504,JOURNAL!$C$5:$C$504,$A32,JOURNAL!$A$5:$A$504,"&gt;="&amp;DATE(YEAR(SETUP!$B$8),MONTH(SETUP!$B$8)+11,1),JOURNAL!$A$5:$A$504,"&lt;="&amp;EOMONTH(SETUP!$B$8,11))</f>
        <v/>
      </c>
      <c r="O32" s="16">
        <f>SUM(C32:N32)</f>
        <v/>
      </c>
    </row>
    <row r="33">
      <c r="A33" t="inlineStr">
        <is>
          <t>5010</t>
        </is>
      </c>
      <c r="B33" t="inlineStr">
        <is>
          <t>COGS — caps, labels, shrink wrap</t>
        </is>
      </c>
      <c r="C33" s="15">
        <f>SUMIFS(JOURNAL!$I$5:$I$504,JOURNAL!$C$5:$C$504,$A33,JOURNAL!$A$5:$A$504,"&gt;="&amp;DATE(YEAR(SETUP!$B$8),MONTH(SETUP!$B$8)+0,1),JOURNAL!$A$5:$A$504,"&lt;="&amp;EOMONTH(SETUP!$B$8,0))-SUMIFS(JOURNAL!$J$5:$J$504,JOURNAL!$C$5:$C$504,$A33,JOURNAL!$A$5:$A$504,"&gt;="&amp;DATE(YEAR(SETUP!$B$8),MONTH(SETUP!$B$8)+0,1),JOURNAL!$A$5:$A$504,"&lt;="&amp;EOMONTH(SETUP!$B$8,0))</f>
        <v/>
      </c>
      <c r="D33" s="15">
        <f>SUMIFS(JOURNAL!$I$5:$I$504,JOURNAL!$C$5:$C$504,$A33,JOURNAL!$A$5:$A$504,"&gt;="&amp;DATE(YEAR(SETUP!$B$8),MONTH(SETUP!$B$8)+1,1),JOURNAL!$A$5:$A$504,"&lt;="&amp;EOMONTH(SETUP!$B$8,1))-SUMIFS(JOURNAL!$J$5:$J$504,JOURNAL!$C$5:$C$504,$A33,JOURNAL!$A$5:$A$504,"&gt;="&amp;DATE(YEAR(SETUP!$B$8),MONTH(SETUP!$B$8)+1,1),JOURNAL!$A$5:$A$504,"&lt;="&amp;EOMONTH(SETUP!$B$8,1))</f>
        <v/>
      </c>
      <c r="E33" s="15">
        <f>SUMIFS(JOURNAL!$I$5:$I$504,JOURNAL!$C$5:$C$504,$A33,JOURNAL!$A$5:$A$504,"&gt;="&amp;DATE(YEAR(SETUP!$B$8),MONTH(SETUP!$B$8)+2,1),JOURNAL!$A$5:$A$504,"&lt;="&amp;EOMONTH(SETUP!$B$8,2))-SUMIFS(JOURNAL!$J$5:$J$504,JOURNAL!$C$5:$C$504,$A33,JOURNAL!$A$5:$A$504,"&gt;="&amp;DATE(YEAR(SETUP!$B$8),MONTH(SETUP!$B$8)+2,1),JOURNAL!$A$5:$A$504,"&lt;="&amp;EOMONTH(SETUP!$B$8,2))</f>
        <v/>
      </c>
      <c r="F33" s="15">
        <f>SUMIFS(JOURNAL!$I$5:$I$504,JOURNAL!$C$5:$C$504,$A33,JOURNAL!$A$5:$A$504,"&gt;="&amp;DATE(YEAR(SETUP!$B$8),MONTH(SETUP!$B$8)+3,1),JOURNAL!$A$5:$A$504,"&lt;="&amp;EOMONTH(SETUP!$B$8,3))-SUMIFS(JOURNAL!$J$5:$J$504,JOURNAL!$C$5:$C$504,$A33,JOURNAL!$A$5:$A$504,"&gt;="&amp;DATE(YEAR(SETUP!$B$8),MONTH(SETUP!$B$8)+3,1),JOURNAL!$A$5:$A$504,"&lt;="&amp;EOMONTH(SETUP!$B$8,3))</f>
        <v/>
      </c>
      <c r="G33" s="15">
        <f>SUMIFS(JOURNAL!$I$5:$I$504,JOURNAL!$C$5:$C$504,$A33,JOURNAL!$A$5:$A$504,"&gt;="&amp;DATE(YEAR(SETUP!$B$8),MONTH(SETUP!$B$8)+4,1),JOURNAL!$A$5:$A$504,"&lt;="&amp;EOMONTH(SETUP!$B$8,4))-SUMIFS(JOURNAL!$J$5:$J$504,JOURNAL!$C$5:$C$504,$A33,JOURNAL!$A$5:$A$504,"&gt;="&amp;DATE(YEAR(SETUP!$B$8),MONTH(SETUP!$B$8)+4,1),JOURNAL!$A$5:$A$504,"&lt;="&amp;EOMONTH(SETUP!$B$8,4))</f>
        <v/>
      </c>
      <c r="H33" s="15">
        <f>SUMIFS(JOURNAL!$I$5:$I$504,JOURNAL!$C$5:$C$504,$A33,JOURNAL!$A$5:$A$504,"&gt;="&amp;DATE(YEAR(SETUP!$B$8),MONTH(SETUP!$B$8)+5,1),JOURNAL!$A$5:$A$504,"&lt;="&amp;EOMONTH(SETUP!$B$8,5))-SUMIFS(JOURNAL!$J$5:$J$504,JOURNAL!$C$5:$C$504,$A33,JOURNAL!$A$5:$A$504,"&gt;="&amp;DATE(YEAR(SETUP!$B$8),MONTH(SETUP!$B$8)+5,1),JOURNAL!$A$5:$A$504,"&lt;="&amp;EOMONTH(SETUP!$B$8,5))</f>
        <v/>
      </c>
      <c r="I33" s="15">
        <f>SUMIFS(JOURNAL!$I$5:$I$504,JOURNAL!$C$5:$C$504,$A33,JOURNAL!$A$5:$A$504,"&gt;="&amp;DATE(YEAR(SETUP!$B$8),MONTH(SETUP!$B$8)+6,1),JOURNAL!$A$5:$A$504,"&lt;="&amp;EOMONTH(SETUP!$B$8,6))-SUMIFS(JOURNAL!$J$5:$J$504,JOURNAL!$C$5:$C$504,$A33,JOURNAL!$A$5:$A$504,"&gt;="&amp;DATE(YEAR(SETUP!$B$8),MONTH(SETUP!$B$8)+6,1),JOURNAL!$A$5:$A$504,"&lt;="&amp;EOMONTH(SETUP!$B$8,6))</f>
        <v/>
      </c>
      <c r="J33" s="15">
        <f>SUMIFS(JOURNAL!$I$5:$I$504,JOURNAL!$C$5:$C$504,$A33,JOURNAL!$A$5:$A$504,"&gt;="&amp;DATE(YEAR(SETUP!$B$8),MONTH(SETUP!$B$8)+7,1),JOURNAL!$A$5:$A$504,"&lt;="&amp;EOMONTH(SETUP!$B$8,7))-SUMIFS(JOURNAL!$J$5:$J$504,JOURNAL!$C$5:$C$504,$A33,JOURNAL!$A$5:$A$504,"&gt;="&amp;DATE(YEAR(SETUP!$B$8),MONTH(SETUP!$B$8)+7,1),JOURNAL!$A$5:$A$504,"&lt;="&amp;EOMONTH(SETUP!$B$8,7))</f>
        <v/>
      </c>
      <c r="K33" s="15">
        <f>SUMIFS(JOURNAL!$I$5:$I$504,JOURNAL!$C$5:$C$504,$A33,JOURNAL!$A$5:$A$504,"&gt;="&amp;DATE(YEAR(SETUP!$B$8),MONTH(SETUP!$B$8)+8,1),JOURNAL!$A$5:$A$504,"&lt;="&amp;EOMONTH(SETUP!$B$8,8))-SUMIFS(JOURNAL!$J$5:$J$504,JOURNAL!$C$5:$C$504,$A33,JOURNAL!$A$5:$A$504,"&gt;="&amp;DATE(YEAR(SETUP!$B$8),MONTH(SETUP!$B$8)+8,1),JOURNAL!$A$5:$A$504,"&lt;="&amp;EOMONTH(SETUP!$B$8,8))</f>
        <v/>
      </c>
      <c r="L33" s="15">
        <f>SUMIFS(JOURNAL!$I$5:$I$504,JOURNAL!$C$5:$C$504,$A33,JOURNAL!$A$5:$A$504,"&gt;="&amp;DATE(YEAR(SETUP!$B$8),MONTH(SETUP!$B$8)+9,1),JOURNAL!$A$5:$A$504,"&lt;="&amp;EOMONTH(SETUP!$B$8,9))-SUMIFS(JOURNAL!$J$5:$J$504,JOURNAL!$C$5:$C$504,$A33,JOURNAL!$A$5:$A$504,"&gt;="&amp;DATE(YEAR(SETUP!$B$8),MONTH(SETUP!$B$8)+9,1),JOURNAL!$A$5:$A$504,"&lt;="&amp;EOMONTH(SETUP!$B$8,9))</f>
        <v/>
      </c>
      <c r="M33" s="15">
        <f>SUMIFS(JOURNAL!$I$5:$I$504,JOURNAL!$C$5:$C$504,$A33,JOURNAL!$A$5:$A$504,"&gt;="&amp;DATE(YEAR(SETUP!$B$8),MONTH(SETUP!$B$8)+10,1),JOURNAL!$A$5:$A$504,"&lt;="&amp;EOMONTH(SETUP!$B$8,10))-SUMIFS(JOURNAL!$J$5:$J$504,JOURNAL!$C$5:$C$504,$A33,JOURNAL!$A$5:$A$504,"&gt;="&amp;DATE(YEAR(SETUP!$B$8),MONTH(SETUP!$B$8)+10,1),JOURNAL!$A$5:$A$504,"&lt;="&amp;EOMONTH(SETUP!$B$8,10))</f>
        <v/>
      </c>
      <c r="N33" s="15">
        <f>SUMIFS(JOURNAL!$I$5:$I$504,JOURNAL!$C$5:$C$504,$A33,JOURNAL!$A$5:$A$504,"&gt;="&amp;DATE(YEAR(SETUP!$B$8),MONTH(SETUP!$B$8)+11,1),JOURNAL!$A$5:$A$504,"&lt;="&amp;EOMONTH(SETUP!$B$8,11))-SUMIFS(JOURNAL!$J$5:$J$504,JOURNAL!$C$5:$C$504,$A33,JOURNAL!$A$5:$A$504,"&gt;="&amp;DATE(YEAR(SETUP!$B$8),MONTH(SETUP!$B$8)+11,1),JOURNAL!$A$5:$A$504,"&lt;="&amp;EOMONTH(SETUP!$B$8,11))</f>
        <v/>
      </c>
      <c r="O33" s="16">
        <f>SUM(C33:N33)</f>
        <v/>
      </c>
    </row>
    <row r="34">
      <c r="A34" t="inlineStr">
        <is>
          <t>5020</t>
        </is>
      </c>
      <c r="B34" t="inlineStr">
        <is>
          <t>COGS — treatment chemicals</t>
        </is>
      </c>
      <c r="C34" s="15">
        <f>SUMIFS(JOURNAL!$I$5:$I$504,JOURNAL!$C$5:$C$504,$A34,JOURNAL!$A$5:$A$504,"&gt;="&amp;DATE(YEAR(SETUP!$B$8),MONTH(SETUP!$B$8)+0,1),JOURNAL!$A$5:$A$504,"&lt;="&amp;EOMONTH(SETUP!$B$8,0))-SUMIFS(JOURNAL!$J$5:$J$504,JOURNAL!$C$5:$C$504,$A34,JOURNAL!$A$5:$A$504,"&gt;="&amp;DATE(YEAR(SETUP!$B$8),MONTH(SETUP!$B$8)+0,1),JOURNAL!$A$5:$A$504,"&lt;="&amp;EOMONTH(SETUP!$B$8,0))</f>
        <v/>
      </c>
      <c r="D34" s="15">
        <f>SUMIFS(JOURNAL!$I$5:$I$504,JOURNAL!$C$5:$C$504,$A34,JOURNAL!$A$5:$A$504,"&gt;="&amp;DATE(YEAR(SETUP!$B$8),MONTH(SETUP!$B$8)+1,1),JOURNAL!$A$5:$A$504,"&lt;="&amp;EOMONTH(SETUP!$B$8,1))-SUMIFS(JOURNAL!$J$5:$J$504,JOURNAL!$C$5:$C$504,$A34,JOURNAL!$A$5:$A$504,"&gt;="&amp;DATE(YEAR(SETUP!$B$8),MONTH(SETUP!$B$8)+1,1),JOURNAL!$A$5:$A$504,"&lt;="&amp;EOMONTH(SETUP!$B$8,1))</f>
        <v/>
      </c>
      <c r="E34" s="15">
        <f>SUMIFS(JOURNAL!$I$5:$I$504,JOURNAL!$C$5:$C$504,$A34,JOURNAL!$A$5:$A$504,"&gt;="&amp;DATE(YEAR(SETUP!$B$8),MONTH(SETUP!$B$8)+2,1),JOURNAL!$A$5:$A$504,"&lt;="&amp;EOMONTH(SETUP!$B$8,2))-SUMIFS(JOURNAL!$J$5:$J$504,JOURNAL!$C$5:$C$504,$A34,JOURNAL!$A$5:$A$504,"&gt;="&amp;DATE(YEAR(SETUP!$B$8),MONTH(SETUP!$B$8)+2,1),JOURNAL!$A$5:$A$504,"&lt;="&amp;EOMONTH(SETUP!$B$8,2))</f>
        <v/>
      </c>
      <c r="F34" s="15">
        <f>SUMIFS(JOURNAL!$I$5:$I$504,JOURNAL!$C$5:$C$504,$A34,JOURNAL!$A$5:$A$504,"&gt;="&amp;DATE(YEAR(SETUP!$B$8),MONTH(SETUP!$B$8)+3,1),JOURNAL!$A$5:$A$504,"&lt;="&amp;EOMONTH(SETUP!$B$8,3))-SUMIFS(JOURNAL!$J$5:$J$504,JOURNAL!$C$5:$C$504,$A34,JOURNAL!$A$5:$A$504,"&gt;="&amp;DATE(YEAR(SETUP!$B$8),MONTH(SETUP!$B$8)+3,1),JOURNAL!$A$5:$A$504,"&lt;="&amp;EOMONTH(SETUP!$B$8,3))</f>
        <v/>
      </c>
      <c r="G34" s="15">
        <f>SUMIFS(JOURNAL!$I$5:$I$504,JOURNAL!$C$5:$C$504,$A34,JOURNAL!$A$5:$A$504,"&gt;="&amp;DATE(YEAR(SETUP!$B$8),MONTH(SETUP!$B$8)+4,1),JOURNAL!$A$5:$A$504,"&lt;="&amp;EOMONTH(SETUP!$B$8,4))-SUMIFS(JOURNAL!$J$5:$J$504,JOURNAL!$C$5:$C$504,$A34,JOURNAL!$A$5:$A$504,"&gt;="&amp;DATE(YEAR(SETUP!$B$8),MONTH(SETUP!$B$8)+4,1),JOURNAL!$A$5:$A$504,"&lt;="&amp;EOMONTH(SETUP!$B$8,4))</f>
        <v/>
      </c>
      <c r="H34" s="15">
        <f>SUMIFS(JOURNAL!$I$5:$I$504,JOURNAL!$C$5:$C$504,$A34,JOURNAL!$A$5:$A$504,"&gt;="&amp;DATE(YEAR(SETUP!$B$8),MONTH(SETUP!$B$8)+5,1),JOURNAL!$A$5:$A$504,"&lt;="&amp;EOMONTH(SETUP!$B$8,5))-SUMIFS(JOURNAL!$J$5:$J$504,JOURNAL!$C$5:$C$504,$A34,JOURNAL!$A$5:$A$504,"&gt;="&amp;DATE(YEAR(SETUP!$B$8),MONTH(SETUP!$B$8)+5,1),JOURNAL!$A$5:$A$504,"&lt;="&amp;EOMONTH(SETUP!$B$8,5))</f>
        <v/>
      </c>
      <c r="I34" s="15">
        <f>SUMIFS(JOURNAL!$I$5:$I$504,JOURNAL!$C$5:$C$504,$A34,JOURNAL!$A$5:$A$504,"&gt;="&amp;DATE(YEAR(SETUP!$B$8),MONTH(SETUP!$B$8)+6,1),JOURNAL!$A$5:$A$504,"&lt;="&amp;EOMONTH(SETUP!$B$8,6))-SUMIFS(JOURNAL!$J$5:$J$504,JOURNAL!$C$5:$C$504,$A34,JOURNAL!$A$5:$A$504,"&gt;="&amp;DATE(YEAR(SETUP!$B$8),MONTH(SETUP!$B$8)+6,1),JOURNAL!$A$5:$A$504,"&lt;="&amp;EOMONTH(SETUP!$B$8,6))</f>
        <v/>
      </c>
      <c r="J34" s="15">
        <f>SUMIFS(JOURNAL!$I$5:$I$504,JOURNAL!$C$5:$C$504,$A34,JOURNAL!$A$5:$A$504,"&gt;="&amp;DATE(YEAR(SETUP!$B$8),MONTH(SETUP!$B$8)+7,1),JOURNAL!$A$5:$A$504,"&lt;="&amp;EOMONTH(SETUP!$B$8,7))-SUMIFS(JOURNAL!$J$5:$J$504,JOURNAL!$C$5:$C$504,$A34,JOURNAL!$A$5:$A$504,"&gt;="&amp;DATE(YEAR(SETUP!$B$8),MONTH(SETUP!$B$8)+7,1),JOURNAL!$A$5:$A$504,"&lt;="&amp;EOMONTH(SETUP!$B$8,7))</f>
        <v/>
      </c>
      <c r="K34" s="15">
        <f>SUMIFS(JOURNAL!$I$5:$I$504,JOURNAL!$C$5:$C$504,$A34,JOURNAL!$A$5:$A$504,"&gt;="&amp;DATE(YEAR(SETUP!$B$8),MONTH(SETUP!$B$8)+8,1),JOURNAL!$A$5:$A$504,"&lt;="&amp;EOMONTH(SETUP!$B$8,8))-SUMIFS(JOURNAL!$J$5:$J$504,JOURNAL!$C$5:$C$504,$A34,JOURNAL!$A$5:$A$504,"&gt;="&amp;DATE(YEAR(SETUP!$B$8),MONTH(SETUP!$B$8)+8,1),JOURNAL!$A$5:$A$504,"&lt;="&amp;EOMONTH(SETUP!$B$8,8))</f>
        <v/>
      </c>
      <c r="L34" s="15">
        <f>SUMIFS(JOURNAL!$I$5:$I$504,JOURNAL!$C$5:$C$504,$A34,JOURNAL!$A$5:$A$504,"&gt;="&amp;DATE(YEAR(SETUP!$B$8),MONTH(SETUP!$B$8)+9,1),JOURNAL!$A$5:$A$504,"&lt;="&amp;EOMONTH(SETUP!$B$8,9))-SUMIFS(JOURNAL!$J$5:$J$504,JOURNAL!$C$5:$C$504,$A34,JOURNAL!$A$5:$A$504,"&gt;="&amp;DATE(YEAR(SETUP!$B$8),MONTH(SETUP!$B$8)+9,1),JOURNAL!$A$5:$A$504,"&lt;="&amp;EOMONTH(SETUP!$B$8,9))</f>
        <v/>
      </c>
      <c r="M34" s="15">
        <f>SUMIFS(JOURNAL!$I$5:$I$504,JOURNAL!$C$5:$C$504,$A34,JOURNAL!$A$5:$A$504,"&gt;="&amp;DATE(YEAR(SETUP!$B$8),MONTH(SETUP!$B$8)+10,1),JOURNAL!$A$5:$A$504,"&lt;="&amp;EOMONTH(SETUP!$B$8,10))-SUMIFS(JOURNAL!$J$5:$J$504,JOURNAL!$C$5:$C$504,$A34,JOURNAL!$A$5:$A$504,"&gt;="&amp;DATE(YEAR(SETUP!$B$8),MONTH(SETUP!$B$8)+10,1),JOURNAL!$A$5:$A$504,"&lt;="&amp;EOMONTH(SETUP!$B$8,10))</f>
        <v/>
      </c>
      <c r="N34" s="15">
        <f>SUMIFS(JOURNAL!$I$5:$I$504,JOURNAL!$C$5:$C$504,$A34,JOURNAL!$A$5:$A$504,"&gt;="&amp;DATE(YEAR(SETUP!$B$8),MONTH(SETUP!$B$8)+11,1),JOURNAL!$A$5:$A$504,"&lt;="&amp;EOMONTH(SETUP!$B$8,11))-SUMIFS(JOURNAL!$J$5:$J$504,JOURNAL!$C$5:$C$504,$A34,JOURNAL!$A$5:$A$504,"&gt;="&amp;DATE(YEAR(SETUP!$B$8),MONTH(SETUP!$B$8)+11,1),JOURNAL!$A$5:$A$504,"&lt;="&amp;EOMONTH(SETUP!$B$8,11))</f>
        <v/>
      </c>
      <c r="O34" s="16">
        <f>SUM(C34:N34)</f>
        <v/>
      </c>
    </row>
    <row r="35">
      <c r="A35" t="inlineStr">
        <is>
          <t>5030</t>
        </is>
      </c>
      <c r="B35" t="inlineStr">
        <is>
          <t>COGS — membranes and filters</t>
        </is>
      </c>
      <c r="C35" s="15">
        <f>SUMIFS(JOURNAL!$I$5:$I$504,JOURNAL!$C$5:$C$504,$A35,JOURNAL!$A$5:$A$504,"&gt;="&amp;DATE(YEAR(SETUP!$B$8),MONTH(SETUP!$B$8)+0,1),JOURNAL!$A$5:$A$504,"&lt;="&amp;EOMONTH(SETUP!$B$8,0))-SUMIFS(JOURNAL!$J$5:$J$504,JOURNAL!$C$5:$C$504,$A35,JOURNAL!$A$5:$A$504,"&gt;="&amp;DATE(YEAR(SETUP!$B$8),MONTH(SETUP!$B$8)+0,1),JOURNAL!$A$5:$A$504,"&lt;="&amp;EOMONTH(SETUP!$B$8,0))</f>
        <v/>
      </c>
      <c r="D35" s="15">
        <f>SUMIFS(JOURNAL!$I$5:$I$504,JOURNAL!$C$5:$C$504,$A35,JOURNAL!$A$5:$A$504,"&gt;="&amp;DATE(YEAR(SETUP!$B$8),MONTH(SETUP!$B$8)+1,1),JOURNAL!$A$5:$A$504,"&lt;="&amp;EOMONTH(SETUP!$B$8,1))-SUMIFS(JOURNAL!$J$5:$J$504,JOURNAL!$C$5:$C$504,$A35,JOURNAL!$A$5:$A$504,"&gt;="&amp;DATE(YEAR(SETUP!$B$8),MONTH(SETUP!$B$8)+1,1),JOURNAL!$A$5:$A$504,"&lt;="&amp;EOMONTH(SETUP!$B$8,1))</f>
        <v/>
      </c>
      <c r="E35" s="15">
        <f>SUMIFS(JOURNAL!$I$5:$I$504,JOURNAL!$C$5:$C$504,$A35,JOURNAL!$A$5:$A$504,"&gt;="&amp;DATE(YEAR(SETUP!$B$8),MONTH(SETUP!$B$8)+2,1),JOURNAL!$A$5:$A$504,"&lt;="&amp;EOMONTH(SETUP!$B$8,2))-SUMIFS(JOURNAL!$J$5:$J$504,JOURNAL!$C$5:$C$504,$A35,JOURNAL!$A$5:$A$504,"&gt;="&amp;DATE(YEAR(SETUP!$B$8),MONTH(SETUP!$B$8)+2,1),JOURNAL!$A$5:$A$504,"&lt;="&amp;EOMONTH(SETUP!$B$8,2))</f>
        <v/>
      </c>
      <c r="F35" s="15">
        <f>SUMIFS(JOURNAL!$I$5:$I$504,JOURNAL!$C$5:$C$504,$A35,JOURNAL!$A$5:$A$504,"&gt;="&amp;DATE(YEAR(SETUP!$B$8),MONTH(SETUP!$B$8)+3,1),JOURNAL!$A$5:$A$504,"&lt;="&amp;EOMONTH(SETUP!$B$8,3))-SUMIFS(JOURNAL!$J$5:$J$504,JOURNAL!$C$5:$C$504,$A35,JOURNAL!$A$5:$A$504,"&gt;="&amp;DATE(YEAR(SETUP!$B$8),MONTH(SETUP!$B$8)+3,1),JOURNAL!$A$5:$A$504,"&lt;="&amp;EOMONTH(SETUP!$B$8,3))</f>
        <v/>
      </c>
      <c r="G35" s="15">
        <f>SUMIFS(JOURNAL!$I$5:$I$504,JOURNAL!$C$5:$C$504,$A35,JOURNAL!$A$5:$A$504,"&gt;="&amp;DATE(YEAR(SETUP!$B$8),MONTH(SETUP!$B$8)+4,1),JOURNAL!$A$5:$A$504,"&lt;="&amp;EOMONTH(SETUP!$B$8,4))-SUMIFS(JOURNAL!$J$5:$J$504,JOURNAL!$C$5:$C$504,$A35,JOURNAL!$A$5:$A$504,"&gt;="&amp;DATE(YEAR(SETUP!$B$8),MONTH(SETUP!$B$8)+4,1),JOURNAL!$A$5:$A$504,"&lt;="&amp;EOMONTH(SETUP!$B$8,4))</f>
        <v/>
      </c>
      <c r="H35" s="15">
        <f>SUMIFS(JOURNAL!$I$5:$I$504,JOURNAL!$C$5:$C$504,$A35,JOURNAL!$A$5:$A$504,"&gt;="&amp;DATE(YEAR(SETUP!$B$8),MONTH(SETUP!$B$8)+5,1),JOURNAL!$A$5:$A$504,"&lt;="&amp;EOMONTH(SETUP!$B$8,5))-SUMIFS(JOURNAL!$J$5:$J$504,JOURNAL!$C$5:$C$504,$A35,JOURNAL!$A$5:$A$504,"&gt;="&amp;DATE(YEAR(SETUP!$B$8),MONTH(SETUP!$B$8)+5,1),JOURNAL!$A$5:$A$504,"&lt;="&amp;EOMONTH(SETUP!$B$8,5))</f>
        <v/>
      </c>
      <c r="I35" s="15">
        <f>SUMIFS(JOURNAL!$I$5:$I$504,JOURNAL!$C$5:$C$504,$A35,JOURNAL!$A$5:$A$504,"&gt;="&amp;DATE(YEAR(SETUP!$B$8),MONTH(SETUP!$B$8)+6,1),JOURNAL!$A$5:$A$504,"&lt;="&amp;EOMONTH(SETUP!$B$8,6))-SUMIFS(JOURNAL!$J$5:$J$504,JOURNAL!$C$5:$C$504,$A35,JOURNAL!$A$5:$A$504,"&gt;="&amp;DATE(YEAR(SETUP!$B$8),MONTH(SETUP!$B$8)+6,1),JOURNAL!$A$5:$A$504,"&lt;="&amp;EOMONTH(SETUP!$B$8,6))</f>
        <v/>
      </c>
      <c r="J35" s="15">
        <f>SUMIFS(JOURNAL!$I$5:$I$504,JOURNAL!$C$5:$C$504,$A35,JOURNAL!$A$5:$A$504,"&gt;="&amp;DATE(YEAR(SETUP!$B$8),MONTH(SETUP!$B$8)+7,1),JOURNAL!$A$5:$A$504,"&lt;="&amp;EOMONTH(SETUP!$B$8,7))-SUMIFS(JOURNAL!$J$5:$J$504,JOURNAL!$C$5:$C$504,$A35,JOURNAL!$A$5:$A$504,"&gt;="&amp;DATE(YEAR(SETUP!$B$8),MONTH(SETUP!$B$8)+7,1),JOURNAL!$A$5:$A$504,"&lt;="&amp;EOMONTH(SETUP!$B$8,7))</f>
        <v/>
      </c>
      <c r="K35" s="15">
        <f>SUMIFS(JOURNAL!$I$5:$I$504,JOURNAL!$C$5:$C$504,$A35,JOURNAL!$A$5:$A$504,"&gt;="&amp;DATE(YEAR(SETUP!$B$8),MONTH(SETUP!$B$8)+8,1),JOURNAL!$A$5:$A$504,"&lt;="&amp;EOMONTH(SETUP!$B$8,8))-SUMIFS(JOURNAL!$J$5:$J$504,JOURNAL!$C$5:$C$504,$A35,JOURNAL!$A$5:$A$504,"&gt;="&amp;DATE(YEAR(SETUP!$B$8),MONTH(SETUP!$B$8)+8,1),JOURNAL!$A$5:$A$504,"&lt;="&amp;EOMONTH(SETUP!$B$8,8))</f>
        <v/>
      </c>
      <c r="L35" s="15">
        <f>SUMIFS(JOURNAL!$I$5:$I$504,JOURNAL!$C$5:$C$504,$A35,JOURNAL!$A$5:$A$504,"&gt;="&amp;DATE(YEAR(SETUP!$B$8),MONTH(SETUP!$B$8)+9,1),JOURNAL!$A$5:$A$504,"&lt;="&amp;EOMONTH(SETUP!$B$8,9))-SUMIFS(JOURNAL!$J$5:$J$504,JOURNAL!$C$5:$C$504,$A35,JOURNAL!$A$5:$A$504,"&gt;="&amp;DATE(YEAR(SETUP!$B$8),MONTH(SETUP!$B$8)+9,1),JOURNAL!$A$5:$A$504,"&lt;="&amp;EOMONTH(SETUP!$B$8,9))</f>
        <v/>
      </c>
      <c r="M35" s="15">
        <f>SUMIFS(JOURNAL!$I$5:$I$504,JOURNAL!$C$5:$C$504,$A35,JOURNAL!$A$5:$A$504,"&gt;="&amp;DATE(YEAR(SETUP!$B$8),MONTH(SETUP!$B$8)+10,1),JOURNAL!$A$5:$A$504,"&lt;="&amp;EOMONTH(SETUP!$B$8,10))-SUMIFS(JOURNAL!$J$5:$J$504,JOURNAL!$C$5:$C$504,$A35,JOURNAL!$A$5:$A$504,"&gt;="&amp;DATE(YEAR(SETUP!$B$8),MONTH(SETUP!$B$8)+10,1),JOURNAL!$A$5:$A$504,"&lt;="&amp;EOMONTH(SETUP!$B$8,10))</f>
        <v/>
      </c>
      <c r="N35" s="15">
        <f>SUMIFS(JOURNAL!$I$5:$I$504,JOURNAL!$C$5:$C$504,$A35,JOURNAL!$A$5:$A$504,"&gt;="&amp;DATE(YEAR(SETUP!$B$8),MONTH(SETUP!$B$8)+11,1),JOURNAL!$A$5:$A$504,"&lt;="&amp;EOMONTH(SETUP!$B$8,11))-SUMIFS(JOURNAL!$J$5:$J$504,JOURNAL!$C$5:$C$504,$A35,JOURNAL!$A$5:$A$504,"&gt;="&amp;DATE(YEAR(SETUP!$B$8),MONTH(SETUP!$B$8)+11,1),JOURNAL!$A$5:$A$504,"&lt;="&amp;EOMONTH(SETUP!$B$8,11))</f>
        <v/>
      </c>
      <c r="O35" s="16">
        <f>SUM(C35:N35)</f>
        <v/>
      </c>
    </row>
    <row r="36">
      <c r="A36" t="inlineStr">
        <is>
          <t>5040</t>
        </is>
      </c>
      <c r="B36" t="inlineStr">
        <is>
          <t>COGS — plant electricity and water</t>
        </is>
      </c>
      <c r="C36" s="15">
        <f>SUMIFS(JOURNAL!$I$5:$I$504,JOURNAL!$C$5:$C$504,$A36,JOURNAL!$A$5:$A$504,"&gt;="&amp;DATE(YEAR(SETUP!$B$8),MONTH(SETUP!$B$8)+0,1),JOURNAL!$A$5:$A$504,"&lt;="&amp;EOMONTH(SETUP!$B$8,0))-SUMIFS(JOURNAL!$J$5:$J$504,JOURNAL!$C$5:$C$504,$A36,JOURNAL!$A$5:$A$504,"&gt;="&amp;DATE(YEAR(SETUP!$B$8),MONTH(SETUP!$B$8)+0,1),JOURNAL!$A$5:$A$504,"&lt;="&amp;EOMONTH(SETUP!$B$8,0))</f>
        <v/>
      </c>
      <c r="D36" s="15">
        <f>SUMIFS(JOURNAL!$I$5:$I$504,JOURNAL!$C$5:$C$504,$A36,JOURNAL!$A$5:$A$504,"&gt;="&amp;DATE(YEAR(SETUP!$B$8),MONTH(SETUP!$B$8)+1,1),JOURNAL!$A$5:$A$504,"&lt;="&amp;EOMONTH(SETUP!$B$8,1))-SUMIFS(JOURNAL!$J$5:$J$504,JOURNAL!$C$5:$C$504,$A36,JOURNAL!$A$5:$A$504,"&gt;="&amp;DATE(YEAR(SETUP!$B$8),MONTH(SETUP!$B$8)+1,1),JOURNAL!$A$5:$A$504,"&lt;="&amp;EOMONTH(SETUP!$B$8,1))</f>
        <v/>
      </c>
      <c r="E36" s="15">
        <f>SUMIFS(JOURNAL!$I$5:$I$504,JOURNAL!$C$5:$C$504,$A36,JOURNAL!$A$5:$A$504,"&gt;="&amp;DATE(YEAR(SETUP!$B$8),MONTH(SETUP!$B$8)+2,1),JOURNAL!$A$5:$A$504,"&lt;="&amp;EOMONTH(SETUP!$B$8,2))-SUMIFS(JOURNAL!$J$5:$J$504,JOURNAL!$C$5:$C$504,$A36,JOURNAL!$A$5:$A$504,"&gt;="&amp;DATE(YEAR(SETUP!$B$8),MONTH(SETUP!$B$8)+2,1),JOURNAL!$A$5:$A$504,"&lt;="&amp;EOMONTH(SETUP!$B$8,2))</f>
        <v/>
      </c>
      <c r="F36" s="15">
        <f>SUMIFS(JOURNAL!$I$5:$I$504,JOURNAL!$C$5:$C$504,$A36,JOURNAL!$A$5:$A$504,"&gt;="&amp;DATE(YEAR(SETUP!$B$8),MONTH(SETUP!$B$8)+3,1),JOURNAL!$A$5:$A$504,"&lt;="&amp;EOMONTH(SETUP!$B$8,3))-SUMIFS(JOURNAL!$J$5:$J$504,JOURNAL!$C$5:$C$504,$A36,JOURNAL!$A$5:$A$504,"&gt;="&amp;DATE(YEAR(SETUP!$B$8),MONTH(SETUP!$B$8)+3,1),JOURNAL!$A$5:$A$504,"&lt;="&amp;EOMONTH(SETUP!$B$8,3))</f>
        <v/>
      </c>
      <c r="G36" s="15">
        <f>SUMIFS(JOURNAL!$I$5:$I$504,JOURNAL!$C$5:$C$504,$A36,JOURNAL!$A$5:$A$504,"&gt;="&amp;DATE(YEAR(SETUP!$B$8),MONTH(SETUP!$B$8)+4,1),JOURNAL!$A$5:$A$504,"&lt;="&amp;EOMONTH(SETUP!$B$8,4))-SUMIFS(JOURNAL!$J$5:$J$504,JOURNAL!$C$5:$C$504,$A36,JOURNAL!$A$5:$A$504,"&gt;="&amp;DATE(YEAR(SETUP!$B$8),MONTH(SETUP!$B$8)+4,1),JOURNAL!$A$5:$A$504,"&lt;="&amp;EOMONTH(SETUP!$B$8,4))</f>
        <v/>
      </c>
      <c r="H36" s="15">
        <f>SUMIFS(JOURNAL!$I$5:$I$504,JOURNAL!$C$5:$C$504,$A36,JOURNAL!$A$5:$A$504,"&gt;="&amp;DATE(YEAR(SETUP!$B$8),MONTH(SETUP!$B$8)+5,1),JOURNAL!$A$5:$A$504,"&lt;="&amp;EOMONTH(SETUP!$B$8,5))-SUMIFS(JOURNAL!$J$5:$J$504,JOURNAL!$C$5:$C$504,$A36,JOURNAL!$A$5:$A$504,"&gt;="&amp;DATE(YEAR(SETUP!$B$8),MONTH(SETUP!$B$8)+5,1),JOURNAL!$A$5:$A$504,"&lt;="&amp;EOMONTH(SETUP!$B$8,5))</f>
        <v/>
      </c>
      <c r="I36" s="15">
        <f>SUMIFS(JOURNAL!$I$5:$I$504,JOURNAL!$C$5:$C$504,$A36,JOURNAL!$A$5:$A$504,"&gt;="&amp;DATE(YEAR(SETUP!$B$8),MONTH(SETUP!$B$8)+6,1),JOURNAL!$A$5:$A$504,"&lt;="&amp;EOMONTH(SETUP!$B$8,6))-SUMIFS(JOURNAL!$J$5:$J$504,JOURNAL!$C$5:$C$504,$A36,JOURNAL!$A$5:$A$504,"&gt;="&amp;DATE(YEAR(SETUP!$B$8),MONTH(SETUP!$B$8)+6,1),JOURNAL!$A$5:$A$504,"&lt;="&amp;EOMONTH(SETUP!$B$8,6))</f>
        <v/>
      </c>
      <c r="J36" s="15">
        <f>SUMIFS(JOURNAL!$I$5:$I$504,JOURNAL!$C$5:$C$504,$A36,JOURNAL!$A$5:$A$504,"&gt;="&amp;DATE(YEAR(SETUP!$B$8),MONTH(SETUP!$B$8)+7,1),JOURNAL!$A$5:$A$504,"&lt;="&amp;EOMONTH(SETUP!$B$8,7))-SUMIFS(JOURNAL!$J$5:$J$504,JOURNAL!$C$5:$C$504,$A36,JOURNAL!$A$5:$A$504,"&gt;="&amp;DATE(YEAR(SETUP!$B$8),MONTH(SETUP!$B$8)+7,1),JOURNAL!$A$5:$A$504,"&lt;="&amp;EOMONTH(SETUP!$B$8,7))</f>
        <v/>
      </c>
      <c r="K36" s="15">
        <f>SUMIFS(JOURNAL!$I$5:$I$504,JOURNAL!$C$5:$C$504,$A36,JOURNAL!$A$5:$A$504,"&gt;="&amp;DATE(YEAR(SETUP!$B$8),MONTH(SETUP!$B$8)+8,1),JOURNAL!$A$5:$A$504,"&lt;="&amp;EOMONTH(SETUP!$B$8,8))-SUMIFS(JOURNAL!$J$5:$J$504,JOURNAL!$C$5:$C$504,$A36,JOURNAL!$A$5:$A$504,"&gt;="&amp;DATE(YEAR(SETUP!$B$8),MONTH(SETUP!$B$8)+8,1),JOURNAL!$A$5:$A$504,"&lt;="&amp;EOMONTH(SETUP!$B$8,8))</f>
        <v/>
      </c>
      <c r="L36" s="15">
        <f>SUMIFS(JOURNAL!$I$5:$I$504,JOURNAL!$C$5:$C$504,$A36,JOURNAL!$A$5:$A$504,"&gt;="&amp;DATE(YEAR(SETUP!$B$8),MONTH(SETUP!$B$8)+9,1),JOURNAL!$A$5:$A$504,"&lt;="&amp;EOMONTH(SETUP!$B$8,9))-SUMIFS(JOURNAL!$J$5:$J$504,JOURNAL!$C$5:$C$504,$A36,JOURNAL!$A$5:$A$504,"&gt;="&amp;DATE(YEAR(SETUP!$B$8),MONTH(SETUP!$B$8)+9,1),JOURNAL!$A$5:$A$504,"&lt;="&amp;EOMONTH(SETUP!$B$8,9))</f>
        <v/>
      </c>
      <c r="M36" s="15">
        <f>SUMIFS(JOURNAL!$I$5:$I$504,JOURNAL!$C$5:$C$504,$A36,JOURNAL!$A$5:$A$504,"&gt;="&amp;DATE(YEAR(SETUP!$B$8),MONTH(SETUP!$B$8)+10,1),JOURNAL!$A$5:$A$504,"&lt;="&amp;EOMONTH(SETUP!$B$8,10))-SUMIFS(JOURNAL!$J$5:$J$504,JOURNAL!$C$5:$C$504,$A36,JOURNAL!$A$5:$A$504,"&gt;="&amp;DATE(YEAR(SETUP!$B$8),MONTH(SETUP!$B$8)+10,1),JOURNAL!$A$5:$A$504,"&lt;="&amp;EOMONTH(SETUP!$B$8,10))</f>
        <v/>
      </c>
      <c r="N36" s="15">
        <f>SUMIFS(JOURNAL!$I$5:$I$504,JOURNAL!$C$5:$C$504,$A36,JOURNAL!$A$5:$A$504,"&gt;="&amp;DATE(YEAR(SETUP!$B$8),MONTH(SETUP!$B$8)+11,1),JOURNAL!$A$5:$A$504,"&lt;="&amp;EOMONTH(SETUP!$B$8,11))-SUMIFS(JOURNAL!$J$5:$J$504,JOURNAL!$C$5:$C$504,$A36,JOURNAL!$A$5:$A$504,"&gt;="&amp;DATE(YEAR(SETUP!$B$8),MONTH(SETUP!$B$8)+11,1),JOURNAL!$A$5:$A$504,"&lt;="&amp;EOMONTH(SETUP!$B$8,11))</f>
        <v/>
      </c>
      <c r="O36" s="16">
        <f>SUM(C36:N36)</f>
        <v/>
      </c>
    </row>
    <row r="37">
      <c r="A37" t="inlineStr">
        <is>
          <t>5050</t>
        </is>
      </c>
      <c r="B37" t="inlineStr">
        <is>
          <t>COGS — digital tax stamps</t>
        </is>
      </c>
      <c r="C37" s="15">
        <f>SUMIFS(JOURNAL!$I$5:$I$504,JOURNAL!$C$5:$C$504,$A37,JOURNAL!$A$5:$A$504,"&gt;="&amp;DATE(YEAR(SETUP!$B$8),MONTH(SETUP!$B$8)+0,1),JOURNAL!$A$5:$A$504,"&lt;="&amp;EOMONTH(SETUP!$B$8,0))-SUMIFS(JOURNAL!$J$5:$J$504,JOURNAL!$C$5:$C$504,$A37,JOURNAL!$A$5:$A$504,"&gt;="&amp;DATE(YEAR(SETUP!$B$8),MONTH(SETUP!$B$8)+0,1),JOURNAL!$A$5:$A$504,"&lt;="&amp;EOMONTH(SETUP!$B$8,0))</f>
        <v/>
      </c>
      <c r="D37" s="15">
        <f>SUMIFS(JOURNAL!$I$5:$I$504,JOURNAL!$C$5:$C$504,$A37,JOURNAL!$A$5:$A$504,"&gt;="&amp;DATE(YEAR(SETUP!$B$8),MONTH(SETUP!$B$8)+1,1),JOURNAL!$A$5:$A$504,"&lt;="&amp;EOMONTH(SETUP!$B$8,1))-SUMIFS(JOURNAL!$J$5:$J$504,JOURNAL!$C$5:$C$504,$A37,JOURNAL!$A$5:$A$504,"&gt;="&amp;DATE(YEAR(SETUP!$B$8),MONTH(SETUP!$B$8)+1,1),JOURNAL!$A$5:$A$504,"&lt;="&amp;EOMONTH(SETUP!$B$8,1))</f>
        <v/>
      </c>
      <c r="E37" s="15">
        <f>SUMIFS(JOURNAL!$I$5:$I$504,JOURNAL!$C$5:$C$504,$A37,JOURNAL!$A$5:$A$504,"&gt;="&amp;DATE(YEAR(SETUP!$B$8),MONTH(SETUP!$B$8)+2,1),JOURNAL!$A$5:$A$504,"&lt;="&amp;EOMONTH(SETUP!$B$8,2))-SUMIFS(JOURNAL!$J$5:$J$504,JOURNAL!$C$5:$C$504,$A37,JOURNAL!$A$5:$A$504,"&gt;="&amp;DATE(YEAR(SETUP!$B$8),MONTH(SETUP!$B$8)+2,1),JOURNAL!$A$5:$A$504,"&lt;="&amp;EOMONTH(SETUP!$B$8,2))</f>
        <v/>
      </c>
      <c r="F37" s="15">
        <f>SUMIFS(JOURNAL!$I$5:$I$504,JOURNAL!$C$5:$C$504,$A37,JOURNAL!$A$5:$A$504,"&gt;="&amp;DATE(YEAR(SETUP!$B$8),MONTH(SETUP!$B$8)+3,1),JOURNAL!$A$5:$A$504,"&lt;="&amp;EOMONTH(SETUP!$B$8,3))-SUMIFS(JOURNAL!$J$5:$J$504,JOURNAL!$C$5:$C$504,$A37,JOURNAL!$A$5:$A$504,"&gt;="&amp;DATE(YEAR(SETUP!$B$8),MONTH(SETUP!$B$8)+3,1),JOURNAL!$A$5:$A$504,"&lt;="&amp;EOMONTH(SETUP!$B$8,3))</f>
        <v/>
      </c>
      <c r="G37" s="15">
        <f>SUMIFS(JOURNAL!$I$5:$I$504,JOURNAL!$C$5:$C$504,$A37,JOURNAL!$A$5:$A$504,"&gt;="&amp;DATE(YEAR(SETUP!$B$8),MONTH(SETUP!$B$8)+4,1),JOURNAL!$A$5:$A$504,"&lt;="&amp;EOMONTH(SETUP!$B$8,4))-SUMIFS(JOURNAL!$J$5:$J$504,JOURNAL!$C$5:$C$504,$A37,JOURNAL!$A$5:$A$504,"&gt;="&amp;DATE(YEAR(SETUP!$B$8),MONTH(SETUP!$B$8)+4,1),JOURNAL!$A$5:$A$504,"&lt;="&amp;EOMONTH(SETUP!$B$8,4))</f>
        <v/>
      </c>
      <c r="H37" s="15">
        <f>SUMIFS(JOURNAL!$I$5:$I$504,JOURNAL!$C$5:$C$504,$A37,JOURNAL!$A$5:$A$504,"&gt;="&amp;DATE(YEAR(SETUP!$B$8),MONTH(SETUP!$B$8)+5,1),JOURNAL!$A$5:$A$504,"&lt;="&amp;EOMONTH(SETUP!$B$8,5))-SUMIFS(JOURNAL!$J$5:$J$504,JOURNAL!$C$5:$C$504,$A37,JOURNAL!$A$5:$A$504,"&gt;="&amp;DATE(YEAR(SETUP!$B$8),MONTH(SETUP!$B$8)+5,1),JOURNAL!$A$5:$A$504,"&lt;="&amp;EOMONTH(SETUP!$B$8,5))</f>
        <v/>
      </c>
      <c r="I37" s="15">
        <f>SUMIFS(JOURNAL!$I$5:$I$504,JOURNAL!$C$5:$C$504,$A37,JOURNAL!$A$5:$A$504,"&gt;="&amp;DATE(YEAR(SETUP!$B$8),MONTH(SETUP!$B$8)+6,1),JOURNAL!$A$5:$A$504,"&lt;="&amp;EOMONTH(SETUP!$B$8,6))-SUMIFS(JOURNAL!$J$5:$J$504,JOURNAL!$C$5:$C$504,$A37,JOURNAL!$A$5:$A$504,"&gt;="&amp;DATE(YEAR(SETUP!$B$8),MONTH(SETUP!$B$8)+6,1),JOURNAL!$A$5:$A$504,"&lt;="&amp;EOMONTH(SETUP!$B$8,6))</f>
        <v/>
      </c>
      <c r="J37" s="15">
        <f>SUMIFS(JOURNAL!$I$5:$I$504,JOURNAL!$C$5:$C$504,$A37,JOURNAL!$A$5:$A$504,"&gt;="&amp;DATE(YEAR(SETUP!$B$8),MONTH(SETUP!$B$8)+7,1),JOURNAL!$A$5:$A$504,"&lt;="&amp;EOMONTH(SETUP!$B$8,7))-SUMIFS(JOURNAL!$J$5:$J$504,JOURNAL!$C$5:$C$504,$A37,JOURNAL!$A$5:$A$504,"&gt;="&amp;DATE(YEAR(SETUP!$B$8),MONTH(SETUP!$B$8)+7,1),JOURNAL!$A$5:$A$504,"&lt;="&amp;EOMONTH(SETUP!$B$8,7))</f>
        <v/>
      </c>
      <c r="K37" s="15">
        <f>SUMIFS(JOURNAL!$I$5:$I$504,JOURNAL!$C$5:$C$504,$A37,JOURNAL!$A$5:$A$504,"&gt;="&amp;DATE(YEAR(SETUP!$B$8),MONTH(SETUP!$B$8)+8,1),JOURNAL!$A$5:$A$504,"&lt;="&amp;EOMONTH(SETUP!$B$8,8))-SUMIFS(JOURNAL!$J$5:$J$504,JOURNAL!$C$5:$C$504,$A37,JOURNAL!$A$5:$A$504,"&gt;="&amp;DATE(YEAR(SETUP!$B$8),MONTH(SETUP!$B$8)+8,1),JOURNAL!$A$5:$A$504,"&lt;="&amp;EOMONTH(SETUP!$B$8,8))</f>
        <v/>
      </c>
      <c r="L37" s="15">
        <f>SUMIFS(JOURNAL!$I$5:$I$504,JOURNAL!$C$5:$C$504,$A37,JOURNAL!$A$5:$A$504,"&gt;="&amp;DATE(YEAR(SETUP!$B$8),MONTH(SETUP!$B$8)+9,1),JOURNAL!$A$5:$A$504,"&lt;="&amp;EOMONTH(SETUP!$B$8,9))-SUMIFS(JOURNAL!$J$5:$J$504,JOURNAL!$C$5:$C$504,$A37,JOURNAL!$A$5:$A$504,"&gt;="&amp;DATE(YEAR(SETUP!$B$8),MONTH(SETUP!$B$8)+9,1),JOURNAL!$A$5:$A$504,"&lt;="&amp;EOMONTH(SETUP!$B$8,9))</f>
        <v/>
      </c>
      <c r="M37" s="15">
        <f>SUMIFS(JOURNAL!$I$5:$I$504,JOURNAL!$C$5:$C$504,$A37,JOURNAL!$A$5:$A$504,"&gt;="&amp;DATE(YEAR(SETUP!$B$8),MONTH(SETUP!$B$8)+10,1),JOURNAL!$A$5:$A$504,"&lt;="&amp;EOMONTH(SETUP!$B$8,10))-SUMIFS(JOURNAL!$J$5:$J$504,JOURNAL!$C$5:$C$504,$A37,JOURNAL!$A$5:$A$504,"&gt;="&amp;DATE(YEAR(SETUP!$B$8),MONTH(SETUP!$B$8)+10,1),JOURNAL!$A$5:$A$504,"&lt;="&amp;EOMONTH(SETUP!$B$8,10))</f>
        <v/>
      </c>
      <c r="N37" s="15">
        <f>SUMIFS(JOURNAL!$I$5:$I$504,JOURNAL!$C$5:$C$504,$A37,JOURNAL!$A$5:$A$504,"&gt;="&amp;DATE(YEAR(SETUP!$B$8),MONTH(SETUP!$B$8)+11,1),JOURNAL!$A$5:$A$504,"&lt;="&amp;EOMONTH(SETUP!$B$8,11))-SUMIFS(JOURNAL!$J$5:$J$504,JOURNAL!$C$5:$C$504,$A37,JOURNAL!$A$5:$A$504,"&gt;="&amp;DATE(YEAR(SETUP!$B$8),MONTH(SETUP!$B$8)+11,1),JOURNAL!$A$5:$A$504,"&lt;="&amp;EOMONTH(SETUP!$B$8,11))</f>
        <v/>
      </c>
      <c r="O37" s="16">
        <f>SUM(C37:N37)</f>
        <v/>
      </c>
    </row>
    <row r="38">
      <c r="A38" t="inlineStr">
        <is>
          <t>5100</t>
        </is>
      </c>
      <c r="B38" t="inlineStr">
        <is>
          <t>JAR COST expensed on issue</t>
        </is>
      </c>
      <c r="C38" s="15">
        <f>SUMIFS(JOURNAL!$I$5:$I$504,JOURNAL!$C$5:$C$504,$A38,JOURNAL!$A$5:$A$504,"&gt;="&amp;DATE(YEAR(SETUP!$B$8),MONTH(SETUP!$B$8)+0,1),JOURNAL!$A$5:$A$504,"&lt;="&amp;EOMONTH(SETUP!$B$8,0))-SUMIFS(JOURNAL!$J$5:$J$504,JOURNAL!$C$5:$C$504,$A38,JOURNAL!$A$5:$A$504,"&gt;="&amp;DATE(YEAR(SETUP!$B$8),MONTH(SETUP!$B$8)+0,1),JOURNAL!$A$5:$A$504,"&lt;="&amp;EOMONTH(SETUP!$B$8,0))</f>
        <v/>
      </c>
      <c r="D38" s="15">
        <f>SUMIFS(JOURNAL!$I$5:$I$504,JOURNAL!$C$5:$C$504,$A38,JOURNAL!$A$5:$A$504,"&gt;="&amp;DATE(YEAR(SETUP!$B$8),MONTH(SETUP!$B$8)+1,1),JOURNAL!$A$5:$A$504,"&lt;="&amp;EOMONTH(SETUP!$B$8,1))-SUMIFS(JOURNAL!$J$5:$J$504,JOURNAL!$C$5:$C$504,$A38,JOURNAL!$A$5:$A$504,"&gt;="&amp;DATE(YEAR(SETUP!$B$8),MONTH(SETUP!$B$8)+1,1),JOURNAL!$A$5:$A$504,"&lt;="&amp;EOMONTH(SETUP!$B$8,1))</f>
        <v/>
      </c>
      <c r="E38" s="15">
        <f>SUMIFS(JOURNAL!$I$5:$I$504,JOURNAL!$C$5:$C$504,$A38,JOURNAL!$A$5:$A$504,"&gt;="&amp;DATE(YEAR(SETUP!$B$8),MONTH(SETUP!$B$8)+2,1),JOURNAL!$A$5:$A$504,"&lt;="&amp;EOMONTH(SETUP!$B$8,2))-SUMIFS(JOURNAL!$J$5:$J$504,JOURNAL!$C$5:$C$504,$A38,JOURNAL!$A$5:$A$504,"&gt;="&amp;DATE(YEAR(SETUP!$B$8),MONTH(SETUP!$B$8)+2,1),JOURNAL!$A$5:$A$504,"&lt;="&amp;EOMONTH(SETUP!$B$8,2))</f>
        <v/>
      </c>
      <c r="F38" s="15">
        <f>SUMIFS(JOURNAL!$I$5:$I$504,JOURNAL!$C$5:$C$504,$A38,JOURNAL!$A$5:$A$504,"&gt;="&amp;DATE(YEAR(SETUP!$B$8),MONTH(SETUP!$B$8)+3,1),JOURNAL!$A$5:$A$504,"&lt;="&amp;EOMONTH(SETUP!$B$8,3))-SUMIFS(JOURNAL!$J$5:$J$504,JOURNAL!$C$5:$C$504,$A38,JOURNAL!$A$5:$A$504,"&gt;="&amp;DATE(YEAR(SETUP!$B$8),MONTH(SETUP!$B$8)+3,1),JOURNAL!$A$5:$A$504,"&lt;="&amp;EOMONTH(SETUP!$B$8,3))</f>
        <v/>
      </c>
      <c r="G38" s="15">
        <f>SUMIFS(JOURNAL!$I$5:$I$504,JOURNAL!$C$5:$C$504,$A38,JOURNAL!$A$5:$A$504,"&gt;="&amp;DATE(YEAR(SETUP!$B$8),MONTH(SETUP!$B$8)+4,1),JOURNAL!$A$5:$A$504,"&lt;="&amp;EOMONTH(SETUP!$B$8,4))-SUMIFS(JOURNAL!$J$5:$J$504,JOURNAL!$C$5:$C$504,$A38,JOURNAL!$A$5:$A$504,"&gt;="&amp;DATE(YEAR(SETUP!$B$8),MONTH(SETUP!$B$8)+4,1),JOURNAL!$A$5:$A$504,"&lt;="&amp;EOMONTH(SETUP!$B$8,4))</f>
        <v/>
      </c>
      <c r="H38" s="15">
        <f>SUMIFS(JOURNAL!$I$5:$I$504,JOURNAL!$C$5:$C$504,$A38,JOURNAL!$A$5:$A$504,"&gt;="&amp;DATE(YEAR(SETUP!$B$8),MONTH(SETUP!$B$8)+5,1),JOURNAL!$A$5:$A$504,"&lt;="&amp;EOMONTH(SETUP!$B$8,5))-SUMIFS(JOURNAL!$J$5:$J$504,JOURNAL!$C$5:$C$504,$A38,JOURNAL!$A$5:$A$504,"&gt;="&amp;DATE(YEAR(SETUP!$B$8),MONTH(SETUP!$B$8)+5,1),JOURNAL!$A$5:$A$504,"&lt;="&amp;EOMONTH(SETUP!$B$8,5))</f>
        <v/>
      </c>
      <c r="I38" s="15">
        <f>SUMIFS(JOURNAL!$I$5:$I$504,JOURNAL!$C$5:$C$504,$A38,JOURNAL!$A$5:$A$504,"&gt;="&amp;DATE(YEAR(SETUP!$B$8),MONTH(SETUP!$B$8)+6,1),JOURNAL!$A$5:$A$504,"&lt;="&amp;EOMONTH(SETUP!$B$8,6))-SUMIFS(JOURNAL!$J$5:$J$504,JOURNAL!$C$5:$C$504,$A38,JOURNAL!$A$5:$A$504,"&gt;="&amp;DATE(YEAR(SETUP!$B$8),MONTH(SETUP!$B$8)+6,1),JOURNAL!$A$5:$A$504,"&lt;="&amp;EOMONTH(SETUP!$B$8,6))</f>
        <v/>
      </c>
      <c r="J38" s="15">
        <f>SUMIFS(JOURNAL!$I$5:$I$504,JOURNAL!$C$5:$C$504,$A38,JOURNAL!$A$5:$A$504,"&gt;="&amp;DATE(YEAR(SETUP!$B$8),MONTH(SETUP!$B$8)+7,1),JOURNAL!$A$5:$A$504,"&lt;="&amp;EOMONTH(SETUP!$B$8,7))-SUMIFS(JOURNAL!$J$5:$J$504,JOURNAL!$C$5:$C$504,$A38,JOURNAL!$A$5:$A$504,"&gt;="&amp;DATE(YEAR(SETUP!$B$8),MONTH(SETUP!$B$8)+7,1),JOURNAL!$A$5:$A$504,"&lt;="&amp;EOMONTH(SETUP!$B$8,7))</f>
        <v/>
      </c>
      <c r="K38" s="15">
        <f>SUMIFS(JOURNAL!$I$5:$I$504,JOURNAL!$C$5:$C$504,$A38,JOURNAL!$A$5:$A$504,"&gt;="&amp;DATE(YEAR(SETUP!$B$8),MONTH(SETUP!$B$8)+8,1),JOURNAL!$A$5:$A$504,"&lt;="&amp;EOMONTH(SETUP!$B$8,8))-SUMIFS(JOURNAL!$J$5:$J$504,JOURNAL!$C$5:$C$504,$A38,JOURNAL!$A$5:$A$504,"&gt;="&amp;DATE(YEAR(SETUP!$B$8),MONTH(SETUP!$B$8)+8,1),JOURNAL!$A$5:$A$504,"&lt;="&amp;EOMONTH(SETUP!$B$8,8))</f>
        <v/>
      </c>
      <c r="L38" s="15">
        <f>SUMIFS(JOURNAL!$I$5:$I$504,JOURNAL!$C$5:$C$504,$A38,JOURNAL!$A$5:$A$504,"&gt;="&amp;DATE(YEAR(SETUP!$B$8),MONTH(SETUP!$B$8)+9,1),JOURNAL!$A$5:$A$504,"&lt;="&amp;EOMONTH(SETUP!$B$8,9))-SUMIFS(JOURNAL!$J$5:$J$504,JOURNAL!$C$5:$C$504,$A38,JOURNAL!$A$5:$A$504,"&gt;="&amp;DATE(YEAR(SETUP!$B$8),MONTH(SETUP!$B$8)+9,1),JOURNAL!$A$5:$A$504,"&lt;="&amp;EOMONTH(SETUP!$B$8,9))</f>
        <v/>
      </c>
      <c r="M38" s="15">
        <f>SUMIFS(JOURNAL!$I$5:$I$504,JOURNAL!$C$5:$C$504,$A38,JOURNAL!$A$5:$A$504,"&gt;="&amp;DATE(YEAR(SETUP!$B$8),MONTH(SETUP!$B$8)+10,1),JOURNAL!$A$5:$A$504,"&lt;="&amp;EOMONTH(SETUP!$B$8,10))-SUMIFS(JOURNAL!$J$5:$J$504,JOURNAL!$C$5:$C$504,$A38,JOURNAL!$A$5:$A$504,"&gt;="&amp;DATE(YEAR(SETUP!$B$8),MONTH(SETUP!$B$8)+10,1),JOURNAL!$A$5:$A$504,"&lt;="&amp;EOMONTH(SETUP!$B$8,10))</f>
        <v/>
      </c>
      <c r="N38" s="15">
        <f>SUMIFS(JOURNAL!$I$5:$I$504,JOURNAL!$C$5:$C$504,$A38,JOURNAL!$A$5:$A$504,"&gt;="&amp;DATE(YEAR(SETUP!$B$8),MONTH(SETUP!$B$8)+11,1),JOURNAL!$A$5:$A$504,"&lt;="&amp;EOMONTH(SETUP!$B$8,11))-SUMIFS(JOURNAL!$J$5:$J$504,JOURNAL!$C$5:$C$504,$A38,JOURNAL!$A$5:$A$504,"&gt;="&amp;DATE(YEAR(SETUP!$B$8),MONTH(SETUP!$B$8)+11,1),JOURNAL!$A$5:$A$504,"&lt;="&amp;EOMONTH(SETUP!$B$8,11))</f>
        <v/>
      </c>
      <c r="O38" s="16">
        <f>SUM(C38:N38)</f>
        <v/>
      </c>
    </row>
    <row r="39">
      <c r="A39" t="inlineStr">
        <is>
          <t>5200</t>
        </is>
      </c>
      <c r="B39" t="inlineStr">
        <is>
          <t>Delivery and logistics</t>
        </is>
      </c>
      <c r="C39" s="15">
        <f>SUMIFS(JOURNAL!$I$5:$I$504,JOURNAL!$C$5:$C$504,$A39,JOURNAL!$A$5:$A$504,"&gt;="&amp;DATE(YEAR(SETUP!$B$8),MONTH(SETUP!$B$8)+0,1),JOURNAL!$A$5:$A$504,"&lt;="&amp;EOMONTH(SETUP!$B$8,0))-SUMIFS(JOURNAL!$J$5:$J$504,JOURNAL!$C$5:$C$504,$A39,JOURNAL!$A$5:$A$504,"&gt;="&amp;DATE(YEAR(SETUP!$B$8),MONTH(SETUP!$B$8)+0,1),JOURNAL!$A$5:$A$504,"&lt;="&amp;EOMONTH(SETUP!$B$8,0))</f>
        <v/>
      </c>
      <c r="D39" s="15">
        <f>SUMIFS(JOURNAL!$I$5:$I$504,JOURNAL!$C$5:$C$504,$A39,JOURNAL!$A$5:$A$504,"&gt;="&amp;DATE(YEAR(SETUP!$B$8),MONTH(SETUP!$B$8)+1,1),JOURNAL!$A$5:$A$504,"&lt;="&amp;EOMONTH(SETUP!$B$8,1))-SUMIFS(JOURNAL!$J$5:$J$504,JOURNAL!$C$5:$C$504,$A39,JOURNAL!$A$5:$A$504,"&gt;="&amp;DATE(YEAR(SETUP!$B$8),MONTH(SETUP!$B$8)+1,1),JOURNAL!$A$5:$A$504,"&lt;="&amp;EOMONTH(SETUP!$B$8,1))</f>
        <v/>
      </c>
      <c r="E39" s="15">
        <f>SUMIFS(JOURNAL!$I$5:$I$504,JOURNAL!$C$5:$C$504,$A39,JOURNAL!$A$5:$A$504,"&gt;="&amp;DATE(YEAR(SETUP!$B$8),MONTH(SETUP!$B$8)+2,1),JOURNAL!$A$5:$A$504,"&lt;="&amp;EOMONTH(SETUP!$B$8,2))-SUMIFS(JOURNAL!$J$5:$J$504,JOURNAL!$C$5:$C$504,$A39,JOURNAL!$A$5:$A$504,"&gt;="&amp;DATE(YEAR(SETUP!$B$8),MONTH(SETUP!$B$8)+2,1),JOURNAL!$A$5:$A$504,"&lt;="&amp;EOMONTH(SETUP!$B$8,2))</f>
        <v/>
      </c>
      <c r="F39" s="15">
        <f>SUMIFS(JOURNAL!$I$5:$I$504,JOURNAL!$C$5:$C$504,$A39,JOURNAL!$A$5:$A$504,"&gt;="&amp;DATE(YEAR(SETUP!$B$8),MONTH(SETUP!$B$8)+3,1),JOURNAL!$A$5:$A$504,"&lt;="&amp;EOMONTH(SETUP!$B$8,3))-SUMIFS(JOURNAL!$J$5:$J$504,JOURNAL!$C$5:$C$504,$A39,JOURNAL!$A$5:$A$504,"&gt;="&amp;DATE(YEAR(SETUP!$B$8),MONTH(SETUP!$B$8)+3,1),JOURNAL!$A$5:$A$504,"&lt;="&amp;EOMONTH(SETUP!$B$8,3))</f>
        <v/>
      </c>
      <c r="G39" s="15">
        <f>SUMIFS(JOURNAL!$I$5:$I$504,JOURNAL!$C$5:$C$504,$A39,JOURNAL!$A$5:$A$504,"&gt;="&amp;DATE(YEAR(SETUP!$B$8),MONTH(SETUP!$B$8)+4,1),JOURNAL!$A$5:$A$504,"&lt;="&amp;EOMONTH(SETUP!$B$8,4))-SUMIFS(JOURNAL!$J$5:$J$504,JOURNAL!$C$5:$C$504,$A39,JOURNAL!$A$5:$A$504,"&gt;="&amp;DATE(YEAR(SETUP!$B$8),MONTH(SETUP!$B$8)+4,1),JOURNAL!$A$5:$A$504,"&lt;="&amp;EOMONTH(SETUP!$B$8,4))</f>
        <v/>
      </c>
      <c r="H39" s="15">
        <f>SUMIFS(JOURNAL!$I$5:$I$504,JOURNAL!$C$5:$C$504,$A39,JOURNAL!$A$5:$A$504,"&gt;="&amp;DATE(YEAR(SETUP!$B$8),MONTH(SETUP!$B$8)+5,1),JOURNAL!$A$5:$A$504,"&lt;="&amp;EOMONTH(SETUP!$B$8,5))-SUMIFS(JOURNAL!$J$5:$J$504,JOURNAL!$C$5:$C$504,$A39,JOURNAL!$A$5:$A$504,"&gt;="&amp;DATE(YEAR(SETUP!$B$8),MONTH(SETUP!$B$8)+5,1),JOURNAL!$A$5:$A$504,"&lt;="&amp;EOMONTH(SETUP!$B$8,5))</f>
        <v/>
      </c>
      <c r="I39" s="15">
        <f>SUMIFS(JOURNAL!$I$5:$I$504,JOURNAL!$C$5:$C$504,$A39,JOURNAL!$A$5:$A$504,"&gt;="&amp;DATE(YEAR(SETUP!$B$8),MONTH(SETUP!$B$8)+6,1),JOURNAL!$A$5:$A$504,"&lt;="&amp;EOMONTH(SETUP!$B$8,6))-SUMIFS(JOURNAL!$J$5:$J$504,JOURNAL!$C$5:$C$504,$A39,JOURNAL!$A$5:$A$504,"&gt;="&amp;DATE(YEAR(SETUP!$B$8),MONTH(SETUP!$B$8)+6,1),JOURNAL!$A$5:$A$504,"&lt;="&amp;EOMONTH(SETUP!$B$8,6))</f>
        <v/>
      </c>
      <c r="J39" s="15">
        <f>SUMIFS(JOURNAL!$I$5:$I$504,JOURNAL!$C$5:$C$504,$A39,JOURNAL!$A$5:$A$504,"&gt;="&amp;DATE(YEAR(SETUP!$B$8),MONTH(SETUP!$B$8)+7,1),JOURNAL!$A$5:$A$504,"&lt;="&amp;EOMONTH(SETUP!$B$8,7))-SUMIFS(JOURNAL!$J$5:$J$504,JOURNAL!$C$5:$C$504,$A39,JOURNAL!$A$5:$A$504,"&gt;="&amp;DATE(YEAR(SETUP!$B$8),MONTH(SETUP!$B$8)+7,1),JOURNAL!$A$5:$A$504,"&lt;="&amp;EOMONTH(SETUP!$B$8,7))</f>
        <v/>
      </c>
      <c r="K39" s="15">
        <f>SUMIFS(JOURNAL!$I$5:$I$504,JOURNAL!$C$5:$C$504,$A39,JOURNAL!$A$5:$A$504,"&gt;="&amp;DATE(YEAR(SETUP!$B$8),MONTH(SETUP!$B$8)+8,1),JOURNAL!$A$5:$A$504,"&lt;="&amp;EOMONTH(SETUP!$B$8,8))-SUMIFS(JOURNAL!$J$5:$J$504,JOURNAL!$C$5:$C$504,$A39,JOURNAL!$A$5:$A$504,"&gt;="&amp;DATE(YEAR(SETUP!$B$8),MONTH(SETUP!$B$8)+8,1),JOURNAL!$A$5:$A$504,"&lt;="&amp;EOMONTH(SETUP!$B$8,8))</f>
        <v/>
      </c>
      <c r="L39" s="15">
        <f>SUMIFS(JOURNAL!$I$5:$I$504,JOURNAL!$C$5:$C$504,$A39,JOURNAL!$A$5:$A$504,"&gt;="&amp;DATE(YEAR(SETUP!$B$8),MONTH(SETUP!$B$8)+9,1),JOURNAL!$A$5:$A$504,"&lt;="&amp;EOMONTH(SETUP!$B$8,9))-SUMIFS(JOURNAL!$J$5:$J$504,JOURNAL!$C$5:$C$504,$A39,JOURNAL!$A$5:$A$504,"&gt;="&amp;DATE(YEAR(SETUP!$B$8),MONTH(SETUP!$B$8)+9,1),JOURNAL!$A$5:$A$504,"&lt;="&amp;EOMONTH(SETUP!$B$8,9))</f>
        <v/>
      </c>
      <c r="M39" s="15">
        <f>SUMIFS(JOURNAL!$I$5:$I$504,JOURNAL!$C$5:$C$504,$A39,JOURNAL!$A$5:$A$504,"&gt;="&amp;DATE(YEAR(SETUP!$B$8),MONTH(SETUP!$B$8)+10,1),JOURNAL!$A$5:$A$504,"&lt;="&amp;EOMONTH(SETUP!$B$8,10))-SUMIFS(JOURNAL!$J$5:$J$504,JOURNAL!$C$5:$C$504,$A39,JOURNAL!$A$5:$A$504,"&gt;="&amp;DATE(YEAR(SETUP!$B$8),MONTH(SETUP!$B$8)+10,1),JOURNAL!$A$5:$A$504,"&lt;="&amp;EOMONTH(SETUP!$B$8,10))</f>
        <v/>
      </c>
      <c r="N39" s="15">
        <f>SUMIFS(JOURNAL!$I$5:$I$504,JOURNAL!$C$5:$C$504,$A39,JOURNAL!$A$5:$A$504,"&gt;="&amp;DATE(YEAR(SETUP!$B$8),MONTH(SETUP!$B$8)+11,1),JOURNAL!$A$5:$A$504,"&lt;="&amp;EOMONTH(SETUP!$B$8,11))-SUMIFS(JOURNAL!$J$5:$J$504,JOURNAL!$C$5:$C$504,$A39,JOURNAL!$A$5:$A$504,"&gt;="&amp;DATE(YEAR(SETUP!$B$8),MONTH(SETUP!$B$8)+11,1),JOURNAL!$A$5:$A$504,"&lt;="&amp;EOMONTH(SETUP!$B$8,11))</f>
        <v/>
      </c>
      <c r="O39" s="16">
        <f>SUM(C39:N39)</f>
        <v/>
      </c>
    </row>
    <row r="40">
      <c r="A40" t="inlineStr">
        <is>
          <t>6000</t>
        </is>
      </c>
      <c r="B40" t="inlineStr">
        <is>
          <t>Salaries and wages</t>
        </is>
      </c>
      <c r="C40" s="15">
        <f>SUMIFS(JOURNAL!$I$5:$I$504,JOURNAL!$C$5:$C$504,$A40,JOURNAL!$A$5:$A$504,"&gt;="&amp;DATE(YEAR(SETUP!$B$8),MONTH(SETUP!$B$8)+0,1),JOURNAL!$A$5:$A$504,"&lt;="&amp;EOMONTH(SETUP!$B$8,0))-SUMIFS(JOURNAL!$J$5:$J$504,JOURNAL!$C$5:$C$504,$A40,JOURNAL!$A$5:$A$504,"&gt;="&amp;DATE(YEAR(SETUP!$B$8),MONTH(SETUP!$B$8)+0,1),JOURNAL!$A$5:$A$504,"&lt;="&amp;EOMONTH(SETUP!$B$8,0))</f>
        <v/>
      </c>
      <c r="D40" s="15">
        <f>SUMIFS(JOURNAL!$I$5:$I$504,JOURNAL!$C$5:$C$504,$A40,JOURNAL!$A$5:$A$504,"&gt;="&amp;DATE(YEAR(SETUP!$B$8),MONTH(SETUP!$B$8)+1,1),JOURNAL!$A$5:$A$504,"&lt;="&amp;EOMONTH(SETUP!$B$8,1))-SUMIFS(JOURNAL!$J$5:$J$504,JOURNAL!$C$5:$C$504,$A40,JOURNAL!$A$5:$A$504,"&gt;="&amp;DATE(YEAR(SETUP!$B$8),MONTH(SETUP!$B$8)+1,1),JOURNAL!$A$5:$A$504,"&lt;="&amp;EOMONTH(SETUP!$B$8,1))</f>
        <v/>
      </c>
      <c r="E40" s="15">
        <f>SUMIFS(JOURNAL!$I$5:$I$504,JOURNAL!$C$5:$C$504,$A40,JOURNAL!$A$5:$A$504,"&gt;="&amp;DATE(YEAR(SETUP!$B$8),MONTH(SETUP!$B$8)+2,1),JOURNAL!$A$5:$A$504,"&lt;="&amp;EOMONTH(SETUP!$B$8,2))-SUMIFS(JOURNAL!$J$5:$J$504,JOURNAL!$C$5:$C$504,$A40,JOURNAL!$A$5:$A$504,"&gt;="&amp;DATE(YEAR(SETUP!$B$8),MONTH(SETUP!$B$8)+2,1),JOURNAL!$A$5:$A$504,"&lt;="&amp;EOMONTH(SETUP!$B$8,2))</f>
        <v/>
      </c>
      <c r="F40" s="15">
        <f>SUMIFS(JOURNAL!$I$5:$I$504,JOURNAL!$C$5:$C$504,$A40,JOURNAL!$A$5:$A$504,"&gt;="&amp;DATE(YEAR(SETUP!$B$8),MONTH(SETUP!$B$8)+3,1),JOURNAL!$A$5:$A$504,"&lt;="&amp;EOMONTH(SETUP!$B$8,3))-SUMIFS(JOURNAL!$J$5:$J$504,JOURNAL!$C$5:$C$504,$A40,JOURNAL!$A$5:$A$504,"&gt;="&amp;DATE(YEAR(SETUP!$B$8),MONTH(SETUP!$B$8)+3,1),JOURNAL!$A$5:$A$504,"&lt;="&amp;EOMONTH(SETUP!$B$8,3))</f>
        <v/>
      </c>
      <c r="G40" s="15">
        <f>SUMIFS(JOURNAL!$I$5:$I$504,JOURNAL!$C$5:$C$504,$A40,JOURNAL!$A$5:$A$504,"&gt;="&amp;DATE(YEAR(SETUP!$B$8),MONTH(SETUP!$B$8)+4,1),JOURNAL!$A$5:$A$504,"&lt;="&amp;EOMONTH(SETUP!$B$8,4))-SUMIFS(JOURNAL!$J$5:$J$504,JOURNAL!$C$5:$C$504,$A40,JOURNAL!$A$5:$A$504,"&gt;="&amp;DATE(YEAR(SETUP!$B$8),MONTH(SETUP!$B$8)+4,1),JOURNAL!$A$5:$A$504,"&lt;="&amp;EOMONTH(SETUP!$B$8,4))</f>
        <v/>
      </c>
      <c r="H40" s="15">
        <f>SUMIFS(JOURNAL!$I$5:$I$504,JOURNAL!$C$5:$C$504,$A40,JOURNAL!$A$5:$A$504,"&gt;="&amp;DATE(YEAR(SETUP!$B$8),MONTH(SETUP!$B$8)+5,1),JOURNAL!$A$5:$A$504,"&lt;="&amp;EOMONTH(SETUP!$B$8,5))-SUMIFS(JOURNAL!$J$5:$J$504,JOURNAL!$C$5:$C$504,$A40,JOURNAL!$A$5:$A$504,"&gt;="&amp;DATE(YEAR(SETUP!$B$8),MONTH(SETUP!$B$8)+5,1),JOURNAL!$A$5:$A$504,"&lt;="&amp;EOMONTH(SETUP!$B$8,5))</f>
        <v/>
      </c>
      <c r="I40" s="15">
        <f>SUMIFS(JOURNAL!$I$5:$I$504,JOURNAL!$C$5:$C$504,$A40,JOURNAL!$A$5:$A$504,"&gt;="&amp;DATE(YEAR(SETUP!$B$8),MONTH(SETUP!$B$8)+6,1),JOURNAL!$A$5:$A$504,"&lt;="&amp;EOMONTH(SETUP!$B$8,6))-SUMIFS(JOURNAL!$J$5:$J$504,JOURNAL!$C$5:$C$504,$A40,JOURNAL!$A$5:$A$504,"&gt;="&amp;DATE(YEAR(SETUP!$B$8),MONTH(SETUP!$B$8)+6,1),JOURNAL!$A$5:$A$504,"&lt;="&amp;EOMONTH(SETUP!$B$8,6))</f>
        <v/>
      </c>
      <c r="J40" s="15">
        <f>SUMIFS(JOURNAL!$I$5:$I$504,JOURNAL!$C$5:$C$504,$A40,JOURNAL!$A$5:$A$504,"&gt;="&amp;DATE(YEAR(SETUP!$B$8),MONTH(SETUP!$B$8)+7,1),JOURNAL!$A$5:$A$504,"&lt;="&amp;EOMONTH(SETUP!$B$8,7))-SUMIFS(JOURNAL!$J$5:$J$504,JOURNAL!$C$5:$C$504,$A40,JOURNAL!$A$5:$A$504,"&gt;="&amp;DATE(YEAR(SETUP!$B$8),MONTH(SETUP!$B$8)+7,1),JOURNAL!$A$5:$A$504,"&lt;="&amp;EOMONTH(SETUP!$B$8,7))</f>
        <v/>
      </c>
      <c r="K40" s="15">
        <f>SUMIFS(JOURNAL!$I$5:$I$504,JOURNAL!$C$5:$C$504,$A40,JOURNAL!$A$5:$A$504,"&gt;="&amp;DATE(YEAR(SETUP!$B$8),MONTH(SETUP!$B$8)+8,1),JOURNAL!$A$5:$A$504,"&lt;="&amp;EOMONTH(SETUP!$B$8,8))-SUMIFS(JOURNAL!$J$5:$J$504,JOURNAL!$C$5:$C$504,$A40,JOURNAL!$A$5:$A$504,"&gt;="&amp;DATE(YEAR(SETUP!$B$8),MONTH(SETUP!$B$8)+8,1),JOURNAL!$A$5:$A$504,"&lt;="&amp;EOMONTH(SETUP!$B$8,8))</f>
        <v/>
      </c>
      <c r="L40" s="15">
        <f>SUMIFS(JOURNAL!$I$5:$I$504,JOURNAL!$C$5:$C$504,$A40,JOURNAL!$A$5:$A$504,"&gt;="&amp;DATE(YEAR(SETUP!$B$8),MONTH(SETUP!$B$8)+9,1),JOURNAL!$A$5:$A$504,"&lt;="&amp;EOMONTH(SETUP!$B$8,9))-SUMIFS(JOURNAL!$J$5:$J$504,JOURNAL!$C$5:$C$504,$A40,JOURNAL!$A$5:$A$504,"&gt;="&amp;DATE(YEAR(SETUP!$B$8),MONTH(SETUP!$B$8)+9,1),JOURNAL!$A$5:$A$504,"&lt;="&amp;EOMONTH(SETUP!$B$8,9))</f>
        <v/>
      </c>
      <c r="M40" s="15">
        <f>SUMIFS(JOURNAL!$I$5:$I$504,JOURNAL!$C$5:$C$504,$A40,JOURNAL!$A$5:$A$504,"&gt;="&amp;DATE(YEAR(SETUP!$B$8),MONTH(SETUP!$B$8)+10,1),JOURNAL!$A$5:$A$504,"&lt;="&amp;EOMONTH(SETUP!$B$8,10))-SUMIFS(JOURNAL!$J$5:$J$504,JOURNAL!$C$5:$C$504,$A40,JOURNAL!$A$5:$A$504,"&gt;="&amp;DATE(YEAR(SETUP!$B$8),MONTH(SETUP!$B$8)+10,1),JOURNAL!$A$5:$A$504,"&lt;="&amp;EOMONTH(SETUP!$B$8,10))</f>
        <v/>
      </c>
      <c r="N40" s="15">
        <f>SUMIFS(JOURNAL!$I$5:$I$504,JOURNAL!$C$5:$C$504,$A40,JOURNAL!$A$5:$A$504,"&gt;="&amp;DATE(YEAR(SETUP!$B$8),MONTH(SETUP!$B$8)+11,1),JOURNAL!$A$5:$A$504,"&lt;="&amp;EOMONTH(SETUP!$B$8,11))-SUMIFS(JOURNAL!$J$5:$J$504,JOURNAL!$C$5:$C$504,$A40,JOURNAL!$A$5:$A$504,"&gt;="&amp;DATE(YEAR(SETUP!$B$8),MONTH(SETUP!$B$8)+11,1),JOURNAL!$A$5:$A$504,"&lt;="&amp;EOMONTH(SETUP!$B$8,11))</f>
        <v/>
      </c>
      <c r="O40" s="16">
        <f>SUM(C40:N40)</f>
        <v/>
      </c>
    </row>
    <row r="41">
      <c r="A41" t="inlineStr">
        <is>
          <t>6010</t>
        </is>
      </c>
      <c r="B41" t="inlineStr">
        <is>
          <t>NSSF — employer contribution</t>
        </is>
      </c>
      <c r="C41" s="15">
        <f>SUMIFS(JOURNAL!$I$5:$I$504,JOURNAL!$C$5:$C$504,$A41,JOURNAL!$A$5:$A$504,"&gt;="&amp;DATE(YEAR(SETUP!$B$8),MONTH(SETUP!$B$8)+0,1),JOURNAL!$A$5:$A$504,"&lt;="&amp;EOMONTH(SETUP!$B$8,0))-SUMIFS(JOURNAL!$J$5:$J$504,JOURNAL!$C$5:$C$504,$A41,JOURNAL!$A$5:$A$504,"&gt;="&amp;DATE(YEAR(SETUP!$B$8),MONTH(SETUP!$B$8)+0,1),JOURNAL!$A$5:$A$504,"&lt;="&amp;EOMONTH(SETUP!$B$8,0))</f>
        <v/>
      </c>
      <c r="D41" s="15">
        <f>SUMIFS(JOURNAL!$I$5:$I$504,JOURNAL!$C$5:$C$504,$A41,JOURNAL!$A$5:$A$504,"&gt;="&amp;DATE(YEAR(SETUP!$B$8),MONTH(SETUP!$B$8)+1,1),JOURNAL!$A$5:$A$504,"&lt;="&amp;EOMONTH(SETUP!$B$8,1))-SUMIFS(JOURNAL!$J$5:$J$504,JOURNAL!$C$5:$C$504,$A41,JOURNAL!$A$5:$A$504,"&gt;="&amp;DATE(YEAR(SETUP!$B$8),MONTH(SETUP!$B$8)+1,1),JOURNAL!$A$5:$A$504,"&lt;="&amp;EOMONTH(SETUP!$B$8,1))</f>
        <v/>
      </c>
      <c r="E41" s="15">
        <f>SUMIFS(JOURNAL!$I$5:$I$504,JOURNAL!$C$5:$C$504,$A41,JOURNAL!$A$5:$A$504,"&gt;="&amp;DATE(YEAR(SETUP!$B$8),MONTH(SETUP!$B$8)+2,1),JOURNAL!$A$5:$A$504,"&lt;="&amp;EOMONTH(SETUP!$B$8,2))-SUMIFS(JOURNAL!$J$5:$J$504,JOURNAL!$C$5:$C$504,$A41,JOURNAL!$A$5:$A$504,"&gt;="&amp;DATE(YEAR(SETUP!$B$8),MONTH(SETUP!$B$8)+2,1),JOURNAL!$A$5:$A$504,"&lt;="&amp;EOMONTH(SETUP!$B$8,2))</f>
        <v/>
      </c>
      <c r="F41" s="15">
        <f>SUMIFS(JOURNAL!$I$5:$I$504,JOURNAL!$C$5:$C$504,$A41,JOURNAL!$A$5:$A$504,"&gt;="&amp;DATE(YEAR(SETUP!$B$8),MONTH(SETUP!$B$8)+3,1),JOURNAL!$A$5:$A$504,"&lt;="&amp;EOMONTH(SETUP!$B$8,3))-SUMIFS(JOURNAL!$J$5:$J$504,JOURNAL!$C$5:$C$504,$A41,JOURNAL!$A$5:$A$504,"&gt;="&amp;DATE(YEAR(SETUP!$B$8),MONTH(SETUP!$B$8)+3,1),JOURNAL!$A$5:$A$504,"&lt;="&amp;EOMONTH(SETUP!$B$8,3))</f>
        <v/>
      </c>
      <c r="G41" s="15">
        <f>SUMIFS(JOURNAL!$I$5:$I$504,JOURNAL!$C$5:$C$504,$A41,JOURNAL!$A$5:$A$504,"&gt;="&amp;DATE(YEAR(SETUP!$B$8),MONTH(SETUP!$B$8)+4,1),JOURNAL!$A$5:$A$504,"&lt;="&amp;EOMONTH(SETUP!$B$8,4))-SUMIFS(JOURNAL!$J$5:$J$504,JOURNAL!$C$5:$C$504,$A41,JOURNAL!$A$5:$A$504,"&gt;="&amp;DATE(YEAR(SETUP!$B$8),MONTH(SETUP!$B$8)+4,1),JOURNAL!$A$5:$A$504,"&lt;="&amp;EOMONTH(SETUP!$B$8,4))</f>
        <v/>
      </c>
      <c r="H41" s="15">
        <f>SUMIFS(JOURNAL!$I$5:$I$504,JOURNAL!$C$5:$C$504,$A41,JOURNAL!$A$5:$A$504,"&gt;="&amp;DATE(YEAR(SETUP!$B$8),MONTH(SETUP!$B$8)+5,1),JOURNAL!$A$5:$A$504,"&lt;="&amp;EOMONTH(SETUP!$B$8,5))-SUMIFS(JOURNAL!$J$5:$J$504,JOURNAL!$C$5:$C$504,$A41,JOURNAL!$A$5:$A$504,"&gt;="&amp;DATE(YEAR(SETUP!$B$8),MONTH(SETUP!$B$8)+5,1),JOURNAL!$A$5:$A$504,"&lt;="&amp;EOMONTH(SETUP!$B$8,5))</f>
        <v/>
      </c>
      <c r="I41" s="15">
        <f>SUMIFS(JOURNAL!$I$5:$I$504,JOURNAL!$C$5:$C$504,$A41,JOURNAL!$A$5:$A$504,"&gt;="&amp;DATE(YEAR(SETUP!$B$8),MONTH(SETUP!$B$8)+6,1),JOURNAL!$A$5:$A$504,"&lt;="&amp;EOMONTH(SETUP!$B$8,6))-SUMIFS(JOURNAL!$J$5:$J$504,JOURNAL!$C$5:$C$504,$A41,JOURNAL!$A$5:$A$504,"&gt;="&amp;DATE(YEAR(SETUP!$B$8),MONTH(SETUP!$B$8)+6,1),JOURNAL!$A$5:$A$504,"&lt;="&amp;EOMONTH(SETUP!$B$8,6))</f>
        <v/>
      </c>
      <c r="J41" s="15">
        <f>SUMIFS(JOURNAL!$I$5:$I$504,JOURNAL!$C$5:$C$504,$A41,JOURNAL!$A$5:$A$504,"&gt;="&amp;DATE(YEAR(SETUP!$B$8),MONTH(SETUP!$B$8)+7,1),JOURNAL!$A$5:$A$504,"&lt;="&amp;EOMONTH(SETUP!$B$8,7))-SUMIFS(JOURNAL!$J$5:$J$504,JOURNAL!$C$5:$C$504,$A41,JOURNAL!$A$5:$A$504,"&gt;="&amp;DATE(YEAR(SETUP!$B$8),MONTH(SETUP!$B$8)+7,1),JOURNAL!$A$5:$A$504,"&lt;="&amp;EOMONTH(SETUP!$B$8,7))</f>
        <v/>
      </c>
      <c r="K41" s="15">
        <f>SUMIFS(JOURNAL!$I$5:$I$504,JOURNAL!$C$5:$C$504,$A41,JOURNAL!$A$5:$A$504,"&gt;="&amp;DATE(YEAR(SETUP!$B$8),MONTH(SETUP!$B$8)+8,1),JOURNAL!$A$5:$A$504,"&lt;="&amp;EOMONTH(SETUP!$B$8,8))-SUMIFS(JOURNAL!$J$5:$J$504,JOURNAL!$C$5:$C$504,$A41,JOURNAL!$A$5:$A$504,"&gt;="&amp;DATE(YEAR(SETUP!$B$8),MONTH(SETUP!$B$8)+8,1),JOURNAL!$A$5:$A$504,"&lt;="&amp;EOMONTH(SETUP!$B$8,8))</f>
        <v/>
      </c>
      <c r="L41" s="15">
        <f>SUMIFS(JOURNAL!$I$5:$I$504,JOURNAL!$C$5:$C$504,$A41,JOURNAL!$A$5:$A$504,"&gt;="&amp;DATE(YEAR(SETUP!$B$8),MONTH(SETUP!$B$8)+9,1),JOURNAL!$A$5:$A$504,"&lt;="&amp;EOMONTH(SETUP!$B$8,9))-SUMIFS(JOURNAL!$J$5:$J$504,JOURNAL!$C$5:$C$504,$A41,JOURNAL!$A$5:$A$504,"&gt;="&amp;DATE(YEAR(SETUP!$B$8),MONTH(SETUP!$B$8)+9,1),JOURNAL!$A$5:$A$504,"&lt;="&amp;EOMONTH(SETUP!$B$8,9))</f>
        <v/>
      </c>
      <c r="M41" s="15">
        <f>SUMIFS(JOURNAL!$I$5:$I$504,JOURNAL!$C$5:$C$504,$A41,JOURNAL!$A$5:$A$504,"&gt;="&amp;DATE(YEAR(SETUP!$B$8),MONTH(SETUP!$B$8)+10,1),JOURNAL!$A$5:$A$504,"&lt;="&amp;EOMONTH(SETUP!$B$8,10))-SUMIFS(JOURNAL!$J$5:$J$504,JOURNAL!$C$5:$C$504,$A41,JOURNAL!$A$5:$A$504,"&gt;="&amp;DATE(YEAR(SETUP!$B$8),MONTH(SETUP!$B$8)+10,1),JOURNAL!$A$5:$A$504,"&lt;="&amp;EOMONTH(SETUP!$B$8,10))</f>
        <v/>
      </c>
      <c r="N41" s="15">
        <f>SUMIFS(JOURNAL!$I$5:$I$504,JOURNAL!$C$5:$C$504,$A41,JOURNAL!$A$5:$A$504,"&gt;="&amp;DATE(YEAR(SETUP!$B$8),MONTH(SETUP!$B$8)+11,1),JOURNAL!$A$5:$A$504,"&lt;="&amp;EOMONTH(SETUP!$B$8,11))-SUMIFS(JOURNAL!$J$5:$J$504,JOURNAL!$C$5:$C$504,$A41,JOURNAL!$A$5:$A$504,"&gt;="&amp;DATE(YEAR(SETUP!$B$8),MONTH(SETUP!$B$8)+11,1),JOURNAL!$A$5:$A$504,"&lt;="&amp;EOMONTH(SETUP!$B$8,11))</f>
        <v/>
      </c>
      <c r="O41" s="16">
        <f>SUM(C41:N41)</f>
        <v/>
      </c>
    </row>
    <row r="42">
      <c r="A42" t="inlineStr">
        <is>
          <t>6100</t>
        </is>
      </c>
      <c r="B42" t="inlineStr">
        <is>
          <t>Rent</t>
        </is>
      </c>
      <c r="C42" s="15">
        <f>SUMIFS(JOURNAL!$I$5:$I$504,JOURNAL!$C$5:$C$504,$A42,JOURNAL!$A$5:$A$504,"&gt;="&amp;DATE(YEAR(SETUP!$B$8),MONTH(SETUP!$B$8)+0,1),JOURNAL!$A$5:$A$504,"&lt;="&amp;EOMONTH(SETUP!$B$8,0))-SUMIFS(JOURNAL!$J$5:$J$504,JOURNAL!$C$5:$C$504,$A42,JOURNAL!$A$5:$A$504,"&gt;="&amp;DATE(YEAR(SETUP!$B$8),MONTH(SETUP!$B$8)+0,1),JOURNAL!$A$5:$A$504,"&lt;="&amp;EOMONTH(SETUP!$B$8,0))</f>
        <v/>
      </c>
      <c r="D42" s="15">
        <f>SUMIFS(JOURNAL!$I$5:$I$504,JOURNAL!$C$5:$C$504,$A42,JOURNAL!$A$5:$A$504,"&gt;="&amp;DATE(YEAR(SETUP!$B$8),MONTH(SETUP!$B$8)+1,1),JOURNAL!$A$5:$A$504,"&lt;="&amp;EOMONTH(SETUP!$B$8,1))-SUMIFS(JOURNAL!$J$5:$J$504,JOURNAL!$C$5:$C$504,$A42,JOURNAL!$A$5:$A$504,"&gt;="&amp;DATE(YEAR(SETUP!$B$8),MONTH(SETUP!$B$8)+1,1),JOURNAL!$A$5:$A$504,"&lt;="&amp;EOMONTH(SETUP!$B$8,1))</f>
        <v/>
      </c>
      <c r="E42" s="15">
        <f>SUMIFS(JOURNAL!$I$5:$I$504,JOURNAL!$C$5:$C$504,$A42,JOURNAL!$A$5:$A$504,"&gt;="&amp;DATE(YEAR(SETUP!$B$8),MONTH(SETUP!$B$8)+2,1),JOURNAL!$A$5:$A$504,"&lt;="&amp;EOMONTH(SETUP!$B$8,2))-SUMIFS(JOURNAL!$J$5:$J$504,JOURNAL!$C$5:$C$504,$A42,JOURNAL!$A$5:$A$504,"&gt;="&amp;DATE(YEAR(SETUP!$B$8),MONTH(SETUP!$B$8)+2,1),JOURNAL!$A$5:$A$504,"&lt;="&amp;EOMONTH(SETUP!$B$8,2))</f>
        <v/>
      </c>
      <c r="F42" s="15">
        <f>SUMIFS(JOURNAL!$I$5:$I$504,JOURNAL!$C$5:$C$504,$A42,JOURNAL!$A$5:$A$504,"&gt;="&amp;DATE(YEAR(SETUP!$B$8),MONTH(SETUP!$B$8)+3,1),JOURNAL!$A$5:$A$504,"&lt;="&amp;EOMONTH(SETUP!$B$8,3))-SUMIFS(JOURNAL!$J$5:$J$504,JOURNAL!$C$5:$C$504,$A42,JOURNAL!$A$5:$A$504,"&gt;="&amp;DATE(YEAR(SETUP!$B$8),MONTH(SETUP!$B$8)+3,1),JOURNAL!$A$5:$A$504,"&lt;="&amp;EOMONTH(SETUP!$B$8,3))</f>
        <v/>
      </c>
      <c r="G42" s="15">
        <f>SUMIFS(JOURNAL!$I$5:$I$504,JOURNAL!$C$5:$C$504,$A42,JOURNAL!$A$5:$A$504,"&gt;="&amp;DATE(YEAR(SETUP!$B$8),MONTH(SETUP!$B$8)+4,1),JOURNAL!$A$5:$A$504,"&lt;="&amp;EOMONTH(SETUP!$B$8,4))-SUMIFS(JOURNAL!$J$5:$J$504,JOURNAL!$C$5:$C$504,$A42,JOURNAL!$A$5:$A$504,"&gt;="&amp;DATE(YEAR(SETUP!$B$8),MONTH(SETUP!$B$8)+4,1),JOURNAL!$A$5:$A$504,"&lt;="&amp;EOMONTH(SETUP!$B$8,4))</f>
        <v/>
      </c>
      <c r="H42" s="15">
        <f>SUMIFS(JOURNAL!$I$5:$I$504,JOURNAL!$C$5:$C$504,$A42,JOURNAL!$A$5:$A$504,"&gt;="&amp;DATE(YEAR(SETUP!$B$8),MONTH(SETUP!$B$8)+5,1),JOURNAL!$A$5:$A$504,"&lt;="&amp;EOMONTH(SETUP!$B$8,5))-SUMIFS(JOURNAL!$J$5:$J$504,JOURNAL!$C$5:$C$504,$A42,JOURNAL!$A$5:$A$504,"&gt;="&amp;DATE(YEAR(SETUP!$B$8),MONTH(SETUP!$B$8)+5,1),JOURNAL!$A$5:$A$504,"&lt;="&amp;EOMONTH(SETUP!$B$8,5))</f>
        <v/>
      </c>
      <c r="I42" s="15">
        <f>SUMIFS(JOURNAL!$I$5:$I$504,JOURNAL!$C$5:$C$504,$A42,JOURNAL!$A$5:$A$504,"&gt;="&amp;DATE(YEAR(SETUP!$B$8),MONTH(SETUP!$B$8)+6,1),JOURNAL!$A$5:$A$504,"&lt;="&amp;EOMONTH(SETUP!$B$8,6))-SUMIFS(JOURNAL!$J$5:$J$504,JOURNAL!$C$5:$C$504,$A42,JOURNAL!$A$5:$A$504,"&gt;="&amp;DATE(YEAR(SETUP!$B$8),MONTH(SETUP!$B$8)+6,1),JOURNAL!$A$5:$A$504,"&lt;="&amp;EOMONTH(SETUP!$B$8,6))</f>
        <v/>
      </c>
      <c r="J42" s="15">
        <f>SUMIFS(JOURNAL!$I$5:$I$504,JOURNAL!$C$5:$C$504,$A42,JOURNAL!$A$5:$A$504,"&gt;="&amp;DATE(YEAR(SETUP!$B$8),MONTH(SETUP!$B$8)+7,1),JOURNAL!$A$5:$A$504,"&lt;="&amp;EOMONTH(SETUP!$B$8,7))-SUMIFS(JOURNAL!$J$5:$J$504,JOURNAL!$C$5:$C$504,$A42,JOURNAL!$A$5:$A$504,"&gt;="&amp;DATE(YEAR(SETUP!$B$8),MONTH(SETUP!$B$8)+7,1),JOURNAL!$A$5:$A$504,"&lt;="&amp;EOMONTH(SETUP!$B$8,7))</f>
        <v/>
      </c>
      <c r="K42" s="15">
        <f>SUMIFS(JOURNAL!$I$5:$I$504,JOURNAL!$C$5:$C$504,$A42,JOURNAL!$A$5:$A$504,"&gt;="&amp;DATE(YEAR(SETUP!$B$8),MONTH(SETUP!$B$8)+8,1),JOURNAL!$A$5:$A$504,"&lt;="&amp;EOMONTH(SETUP!$B$8,8))-SUMIFS(JOURNAL!$J$5:$J$504,JOURNAL!$C$5:$C$504,$A42,JOURNAL!$A$5:$A$504,"&gt;="&amp;DATE(YEAR(SETUP!$B$8),MONTH(SETUP!$B$8)+8,1),JOURNAL!$A$5:$A$504,"&lt;="&amp;EOMONTH(SETUP!$B$8,8))</f>
        <v/>
      </c>
      <c r="L42" s="15">
        <f>SUMIFS(JOURNAL!$I$5:$I$504,JOURNAL!$C$5:$C$504,$A42,JOURNAL!$A$5:$A$504,"&gt;="&amp;DATE(YEAR(SETUP!$B$8),MONTH(SETUP!$B$8)+9,1),JOURNAL!$A$5:$A$504,"&lt;="&amp;EOMONTH(SETUP!$B$8,9))-SUMIFS(JOURNAL!$J$5:$J$504,JOURNAL!$C$5:$C$504,$A42,JOURNAL!$A$5:$A$504,"&gt;="&amp;DATE(YEAR(SETUP!$B$8),MONTH(SETUP!$B$8)+9,1),JOURNAL!$A$5:$A$504,"&lt;="&amp;EOMONTH(SETUP!$B$8,9))</f>
        <v/>
      </c>
      <c r="M42" s="15">
        <f>SUMIFS(JOURNAL!$I$5:$I$504,JOURNAL!$C$5:$C$504,$A42,JOURNAL!$A$5:$A$504,"&gt;="&amp;DATE(YEAR(SETUP!$B$8),MONTH(SETUP!$B$8)+10,1),JOURNAL!$A$5:$A$504,"&lt;="&amp;EOMONTH(SETUP!$B$8,10))-SUMIFS(JOURNAL!$J$5:$J$504,JOURNAL!$C$5:$C$504,$A42,JOURNAL!$A$5:$A$504,"&gt;="&amp;DATE(YEAR(SETUP!$B$8),MONTH(SETUP!$B$8)+10,1),JOURNAL!$A$5:$A$504,"&lt;="&amp;EOMONTH(SETUP!$B$8,10))</f>
        <v/>
      </c>
      <c r="N42" s="15">
        <f>SUMIFS(JOURNAL!$I$5:$I$504,JOURNAL!$C$5:$C$504,$A42,JOURNAL!$A$5:$A$504,"&gt;="&amp;DATE(YEAR(SETUP!$B$8),MONTH(SETUP!$B$8)+11,1),JOURNAL!$A$5:$A$504,"&lt;="&amp;EOMONTH(SETUP!$B$8,11))-SUMIFS(JOURNAL!$J$5:$J$504,JOURNAL!$C$5:$C$504,$A42,JOURNAL!$A$5:$A$504,"&gt;="&amp;DATE(YEAR(SETUP!$B$8),MONTH(SETUP!$B$8)+11,1),JOURNAL!$A$5:$A$504,"&lt;="&amp;EOMONTH(SETUP!$B$8,11))</f>
        <v/>
      </c>
      <c r="O42" s="16">
        <f>SUM(C42:N42)</f>
        <v/>
      </c>
    </row>
    <row r="43">
      <c r="A43" t="inlineStr">
        <is>
          <t>6110</t>
        </is>
      </c>
      <c r="B43" t="inlineStr">
        <is>
          <t>Electricity and water — premises</t>
        </is>
      </c>
      <c r="C43" s="15">
        <f>SUMIFS(JOURNAL!$I$5:$I$504,JOURNAL!$C$5:$C$504,$A43,JOURNAL!$A$5:$A$504,"&gt;="&amp;DATE(YEAR(SETUP!$B$8),MONTH(SETUP!$B$8)+0,1),JOURNAL!$A$5:$A$504,"&lt;="&amp;EOMONTH(SETUP!$B$8,0))-SUMIFS(JOURNAL!$J$5:$J$504,JOURNAL!$C$5:$C$504,$A43,JOURNAL!$A$5:$A$504,"&gt;="&amp;DATE(YEAR(SETUP!$B$8),MONTH(SETUP!$B$8)+0,1),JOURNAL!$A$5:$A$504,"&lt;="&amp;EOMONTH(SETUP!$B$8,0))</f>
        <v/>
      </c>
      <c r="D43" s="15">
        <f>SUMIFS(JOURNAL!$I$5:$I$504,JOURNAL!$C$5:$C$504,$A43,JOURNAL!$A$5:$A$504,"&gt;="&amp;DATE(YEAR(SETUP!$B$8),MONTH(SETUP!$B$8)+1,1),JOURNAL!$A$5:$A$504,"&lt;="&amp;EOMONTH(SETUP!$B$8,1))-SUMIFS(JOURNAL!$J$5:$J$504,JOURNAL!$C$5:$C$504,$A43,JOURNAL!$A$5:$A$504,"&gt;="&amp;DATE(YEAR(SETUP!$B$8),MONTH(SETUP!$B$8)+1,1),JOURNAL!$A$5:$A$504,"&lt;="&amp;EOMONTH(SETUP!$B$8,1))</f>
        <v/>
      </c>
      <c r="E43" s="15">
        <f>SUMIFS(JOURNAL!$I$5:$I$504,JOURNAL!$C$5:$C$504,$A43,JOURNAL!$A$5:$A$504,"&gt;="&amp;DATE(YEAR(SETUP!$B$8),MONTH(SETUP!$B$8)+2,1),JOURNAL!$A$5:$A$504,"&lt;="&amp;EOMONTH(SETUP!$B$8,2))-SUMIFS(JOURNAL!$J$5:$J$504,JOURNAL!$C$5:$C$504,$A43,JOURNAL!$A$5:$A$504,"&gt;="&amp;DATE(YEAR(SETUP!$B$8),MONTH(SETUP!$B$8)+2,1),JOURNAL!$A$5:$A$504,"&lt;="&amp;EOMONTH(SETUP!$B$8,2))</f>
        <v/>
      </c>
      <c r="F43" s="15">
        <f>SUMIFS(JOURNAL!$I$5:$I$504,JOURNAL!$C$5:$C$504,$A43,JOURNAL!$A$5:$A$504,"&gt;="&amp;DATE(YEAR(SETUP!$B$8),MONTH(SETUP!$B$8)+3,1),JOURNAL!$A$5:$A$504,"&lt;="&amp;EOMONTH(SETUP!$B$8,3))-SUMIFS(JOURNAL!$J$5:$J$504,JOURNAL!$C$5:$C$504,$A43,JOURNAL!$A$5:$A$504,"&gt;="&amp;DATE(YEAR(SETUP!$B$8),MONTH(SETUP!$B$8)+3,1),JOURNAL!$A$5:$A$504,"&lt;="&amp;EOMONTH(SETUP!$B$8,3))</f>
        <v/>
      </c>
      <c r="G43" s="15">
        <f>SUMIFS(JOURNAL!$I$5:$I$504,JOURNAL!$C$5:$C$504,$A43,JOURNAL!$A$5:$A$504,"&gt;="&amp;DATE(YEAR(SETUP!$B$8),MONTH(SETUP!$B$8)+4,1),JOURNAL!$A$5:$A$504,"&lt;="&amp;EOMONTH(SETUP!$B$8,4))-SUMIFS(JOURNAL!$J$5:$J$504,JOURNAL!$C$5:$C$504,$A43,JOURNAL!$A$5:$A$504,"&gt;="&amp;DATE(YEAR(SETUP!$B$8),MONTH(SETUP!$B$8)+4,1),JOURNAL!$A$5:$A$504,"&lt;="&amp;EOMONTH(SETUP!$B$8,4))</f>
        <v/>
      </c>
      <c r="H43" s="15">
        <f>SUMIFS(JOURNAL!$I$5:$I$504,JOURNAL!$C$5:$C$504,$A43,JOURNAL!$A$5:$A$504,"&gt;="&amp;DATE(YEAR(SETUP!$B$8),MONTH(SETUP!$B$8)+5,1),JOURNAL!$A$5:$A$504,"&lt;="&amp;EOMONTH(SETUP!$B$8,5))-SUMIFS(JOURNAL!$J$5:$J$504,JOURNAL!$C$5:$C$504,$A43,JOURNAL!$A$5:$A$504,"&gt;="&amp;DATE(YEAR(SETUP!$B$8),MONTH(SETUP!$B$8)+5,1),JOURNAL!$A$5:$A$504,"&lt;="&amp;EOMONTH(SETUP!$B$8,5))</f>
        <v/>
      </c>
      <c r="I43" s="15">
        <f>SUMIFS(JOURNAL!$I$5:$I$504,JOURNAL!$C$5:$C$504,$A43,JOURNAL!$A$5:$A$504,"&gt;="&amp;DATE(YEAR(SETUP!$B$8),MONTH(SETUP!$B$8)+6,1),JOURNAL!$A$5:$A$504,"&lt;="&amp;EOMONTH(SETUP!$B$8,6))-SUMIFS(JOURNAL!$J$5:$J$504,JOURNAL!$C$5:$C$504,$A43,JOURNAL!$A$5:$A$504,"&gt;="&amp;DATE(YEAR(SETUP!$B$8),MONTH(SETUP!$B$8)+6,1),JOURNAL!$A$5:$A$504,"&lt;="&amp;EOMONTH(SETUP!$B$8,6))</f>
        <v/>
      </c>
      <c r="J43" s="15">
        <f>SUMIFS(JOURNAL!$I$5:$I$504,JOURNAL!$C$5:$C$504,$A43,JOURNAL!$A$5:$A$504,"&gt;="&amp;DATE(YEAR(SETUP!$B$8),MONTH(SETUP!$B$8)+7,1),JOURNAL!$A$5:$A$504,"&lt;="&amp;EOMONTH(SETUP!$B$8,7))-SUMIFS(JOURNAL!$J$5:$J$504,JOURNAL!$C$5:$C$504,$A43,JOURNAL!$A$5:$A$504,"&gt;="&amp;DATE(YEAR(SETUP!$B$8),MONTH(SETUP!$B$8)+7,1),JOURNAL!$A$5:$A$504,"&lt;="&amp;EOMONTH(SETUP!$B$8,7))</f>
        <v/>
      </c>
      <c r="K43" s="15">
        <f>SUMIFS(JOURNAL!$I$5:$I$504,JOURNAL!$C$5:$C$504,$A43,JOURNAL!$A$5:$A$504,"&gt;="&amp;DATE(YEAR(SETUP!$B$8),MONTH(SETUP!$B$8)+8,1),JOURNAL!$A$5:$A$504,"&lt;="&amp;EOMONTH(SETUP!$B$8,8))-SUMIFS(JOURNAL!$J$5:$J$504,JOURNAL!$C$5:$C$504,$A43,JOURNAL!$A$5:$A$504,"&gt;="&amp;DATE(YEAR(SETUP!$B$8),MONTH(SETUP!$B$8)+8,1),JOURNAL!$A$5:$A$504,"&lt;="&amp;EOMONTH(SETUP!$B$8,8))</f>
        <v/>
      </c>
      <c r="L43" s="15">
        <f>SUMIFS(JOURNAL!$I$5:$I$504,JOURNAL!$C$5:$C$504,$A43,JOURNAL!$A$5:$A$504,"&gt;="&amp;DATE(YEAR(SETUP!$B$8),MONTH(SETUP!$B$8)+9,1),JOURNAL!$A$5:$A$504,"&lt;="&amp;EOMONTH(SETUP!$B$8,9))-SUMIFS(JOURNAL!$J$5:$J$504,JOURNAL!$C$5:$C$504,$A43,JOURNAL!$A$5:$A$504,"&gt;="&amp;DATE(YEAR(SETUP!$B$8),MONTH(SETUP!$B$8)+9,1),JOURNAL!$A$5:$A$504,"&lt;="&amp;EOMONTH(SETUP!$B$8,9))</f>
        <v/>
      </c>
      <c r="M43" s="15">
        <f>SUMIFS(JOURNAL!$I$5:$I$504,JOURNAL!$C$5:$C$504,$A43,JOURNAL!$A$5:$A$504,"&gt;="&amp;DATE(YEAR(SETUP!$B$8),MONTH(SETUP!$B$8)+10,1),JOURNAL!$A$5:$A$504,"&lt;="&amp;EOMONTH(SETUP!$B$8,10))-SUMIFS(JOURNAL!$J$5:$J$504,JOURNAL!$C$5:$C$504,$A43,JOURNAL!$A$5:$A$504,"&gt;="&amp;DATE(YEAR(SETUP!$B$8),MONTH(SETUP!$B$8)+10,1),JOURNAL!$A$5:$A$504,"&lt;="&amp;EOMONTH(SETUP!$B$8,10))</f>
        <v/>
      </c>
      <c r="N43" s="15">
        <f>SUMIFS(JOURNAL!$I$5:$I$504,JOURNAL!$C$5:$C$504,$A43,JOURNAL!$A$5:$A$504,"&gt;="&amp;DATE(YEAR(SETUP!$B$8),MONTH(SETUP!$B$8)+11,1),JOURNAL!$A$5:$A$504,"&lt;="&amp;EOMONTH(SETUP!$B$8,11))-SUMIFS(JOURNAL!$J$5:$J$504,JOURNAL!$C$5:$C$504,$A43,JOURNAL!$A$5:$A$504,"&gt;="&amp;DATE(YEAR(SETUP!$B$8),MONTH(SETUP!$B$8)+11,1),JOURNAL!$A$5:$A$504,"&lt;="&amp;EOMONTH(SETUP!$B$8,11))</f>
        <v/>
      </c>
      <c r="O43" s="16">
        <f>SUM(C43:N43)</f>
        <v/>
      </c>
    </row>
    <row r="44">
      <c r="A44" t="inlineStr">
        <is>
          <t>6120</t>
        </is>
      </c>
      <c r="B44" t="inlineStr">
        <is>
          <t>Security</t>
        </is>
      </c>
      <c r="C44" s="15">
        <f>SUMIFS(JOURNAL!$I$5:$I$504,JOURNAL!$C$5:$C$504,$A44,JOURNAL!$A$5:$A$504,"&gt;="&amp;DATE(YEAR(SETUP!$B$8),MONTH(SETUP!$B$8)+0,1),JOURNAL!$A$5:$A$504,"&lt;="&amp;EOMONTH(SETUP!$B$8,0))-SUMIFS(JOURNAL!$J$5:$J$504,JOURNAL!$C$5:$C$504,$A44,JOURNAL!$A$5:$A$504,"&gt;="&amp;DATE(YEAR(SETUP!$B$8),MONTH(SETUP!$B$8)+0,1),JOURNAL!$A$5:$A$504,"&lt;="&amp;EOMONTH(SETUP!$B$8,0))</f>
        <v/>
      </c>
      <c r="D44" s="15">
        <f>SUMIFS(JOURNAL!$I$5:$I$504,JOURNAL!$C$5:$C$504,$A44,JOURNAL!$A$5:$A$504,"&gt;="&amp;DATE(YEAR(SETUP!$B$8),MONTH(SETUP!$B$8)+1,1),JOURNAL!$A$5:$A$504,"&lt;="&amp;EOMONTH(SETUP!$B$8,1))-SUMIFS(JOURNAL!$J$5:$J$504,JOURNAL!$C$5:$C$504,$A44,JOURNAL!$A$5:$A$504,"&gt;="&amp;DATE(YEAR(SETUP!$B$8),MONTH(SETUP!$B$8)+1,1),JOURNAL!$A$5:$A$504,"&lt;="&amp;EOMONTH(SETUP!$B$8,1))</f>
        <v/>
      </c>
      <c r="E44" s="15">
        <f>SUMIFS(JOURNAL!$I$5:$I$504,JOURNAL!$C$5:$C$504,$A44,JOURNAL!$A$5:$A$504,"&gt;="&amp;DATE(YEAR(SETUP!$B$8),MONTH(SETUP!$B$8)+2,1),JOURNAL!$A$5:$A$504,"&lt;="&amp;EOMONTH(SETUP!$B$8,2))-SUMIFS(JOURNAL!$J$5:$J$504,JOURNAL!$C$5:$C$504,$A44,JOURNAL!$A$5:$A$504,"&gt;="&amp;DATE(YEAR(SETUP!$B$8),MONTH(SETUP!$B$8)+2,1),JOURNAL!$A$5:$A$504,"&lt;="&amp;EOMONTH(SETUP!$B$8,2))</f>
        <v/>
      </c>
      <c r="F44" s="15">
        <f>SUMIFS(JOURNAL!$I$5:$I$504,JOURNAL!$C$5:$C$504,$A44,JOURNAL!$A$5:$A$504,"&gt;="&amp;DATE(YEAR(SETUP!$B$8),MONTH(SETUP!$B$8)+3,1),JOURNAL!$A$5:$A$504,"&lt;="&amp;EOMONTH(SETUP!$B$8,3))-SUMIFS(JOURNAL!$J$5:$J$504,JOURNAL!$C$5:$C$504,$A44,JOURNAL!$A$5:$A$504,"&gt;="&amp;DATE(YEAR(SETUP!$B$8),MONTH(SETUP!$B$8)+3,1),JOURNAL!$A$5:$A$504,"&lt;="&amp;EOMONTH(SETUP!$B$8,3))</f>
        <v/>
      </c>
      <c r="G44" s="15">
        <f>SUMIFS(JOURNAL!$I$5:$I$504,JOURNAL!$C$5:$C$504,$A44,JOURNAL!$A$5:$A$504,"&gt;="&amp;DATE(YEAR(SETUP!$B$8),MONTH(SETUP!$B$8)+4,1),JOURNAL!$A$5:$A$504,"&lt;="&amp;EOMONTH(SETUP!$B$8,4))-SUMIFS(JOURNAL!$J$5:$J$504,JOURNAL!$C$5:$C$504,$A44,JOURNAL!$A$5:$A$504,"&gt;="&amp;DATE(YEAR(SETUP!$B$8),MONTH(SETUP!$B$8)+4,1),JOURNAL!$A$5:$A$504,"&lt;="&amp;EOMONTH(SETUP!$B$8,4))</f>
        <v/>
      </c>
      <c r="H44" s="15">
        <f>SUMIFS(JOURNAL!$I$5:$I$504,JOURNAL!$C$5:$C$504,$A44,JOURNAL!$A$5:$A$504,"&gt;="&amp;DATE(YEAR(SETUP!$B$8),MONTH(SETUP!$B$8)+5,1),JOURNAL!$A$5:$A$504,"&lt;="&amp;EOMONTH(SETUP!$B$8,5))-SUMIFS(JOURNAL!$J$5:$J$504,JOURNAL!$C$5:$C$504,$A44,JOURNAL!$A$5:$A$504,"&gt;="&amp;DATE(YEAR(SETUP!$B$8),MONTH(SETUP!$B$8)+5,1),JOURNAL!$A$5:$A$504,"&lt;="&amp;EOMONTH(SETUP!$B$8,5))</f>
        <v/>
      </c>
      <c r="I44" s="15">
        <f>SUMIFS(JOURNAL!$I$5:$I$504,JOURNAL!$C$5:$C$504,$A44,JOURNAL!$A$5:$A$504,"&gt;="&amp;DATE(YEAR(SETUP!$B$8),MONTH(SETUP!$B$8)+6,1),JOURNAL!$A$5:$A$504,"&lt;="&amp;EOMONTH(SETUP!$B$8,6))-SUMIFS(JOURNAL!$J$5:$J$504,JOURNAL!$C$5:$C$504,$A44,JOURNAL!$A$5:$A$504,"&gt;="&amp;DATE(YEAR(SETUP!$B$8),MONTH(SETUP!$B$8)+6,1),JOURNAL!$A$5:$A$504,"&lt;="&amp;EOMONTH(SETUP!$B$8,6))</f>
        <v/>
      </c>
      <c r="J44" s="15">
        <f>SUMIFS(JOURNAL!$I$5:$I$504,JOURNAL!$C$5:$C$504,$A44,JOURNAL!$A$5:$A$504,"&gt;="&amp;DATE(YEAR(SETUP!$B$8),MONTH(SETUP!$B$8)+7,1),JOURNAL!$A$5:$A$504,"&lt;="&amp;EOMONTH(SETUP!$B$8,7))-SUMIFS(JOURNAL!$J$5:$J$504,JOURNAL!$C$5:$C$504,$A44,JOURNAL!$A$5:$A$504,"&gt;="&amp;DATE(YEAR(SETUP!$B$8),MONTH(SETUP!$B$8)+7,1),JOURNAL!$A$5:$A$504,"&lt;="&amp;EOMONTH(SETUP!$B$8,7))</f>
        <v/>
      </c>
      <c r="K44" s="15">
        <f>SUMIFS(JOURNAL!$I$5:$I$504,JOURNAL!$C$5:$C$504,$A44,JOURNAL!$A$5:$A$504,"&gt;="&amp;DATE(YEAR(SETUP!$B$8),MONTH(SETUP!$B$8)+8,1),JOURNAL!$A$5:$A$504,"&lt;="&amp;EOMONTH(SETUP!$B$8,8))-SUMIFS(JOURNAL!$J$5:$J$504,JOURNAL!$C$5:$C$504,$A44,JOURNAL!$A$5:$A$504,"&gt;="&amp;DATE(YEAR(SETUP!$B$8),MONTH(SETUP!$B$8)+8,1),JOURNAL!$A$5:$A$504,"&lt;="&amp;EOMONTH(SETUP!$B$8,8))</f>
        <v/>
      </c>
      <c r="L44" s="15">
        <f>SUMIFS(JOURNAL!$I$5:$I$504,JOURNAL!$C$5:$C$504,$A44,JOURNAL!$A$5:$A$504,"&gt;="&amp;DATE(YEAR(SETUP!$B$8),MONTH(SETUP!$B$8)+9,1),JOURNAL!$A$5:$A$504,"&lt;="&amp;EOMONTH(SETUP!$B$8,9))-SUMIFS(JOURNAL!$J$5:$J$504,JOURNAL!$C$5:$C$504,$A44,JOURNAL!$A$5:$A$504,"&gt;="&amp;DATE(YEAR(SETUP!$B$8),MONTH(SETUP!$B$8)+9,1),JOURNAL!$A$5:$A$504,"&lt;="&amp;EOMONTH(SETUP!$B$8,9))</f>
        <v/>
      </c>
      <c r="M44" s="15">
        <f>SUMIFS(JOURNAL!$I$5:$I$504,JOURNAL!$C$5:$C$504,$A44,JOURNAL!$A$5:$A$504,"&gt;="&amp;DATE(YEAR(SETUP!$B$8),MONTH(SETUP!$B$8)+10,1),JOURNAL!$A$5:$A$504,"&lt;="&amp;EOMONTH(SETUP!$B$8,10))-SUMIFS(JOURNAL!$J$5:$J$504,JOURNAL!$C$5:$C$504,$A44,JOURNAL!$A$5:$A$504,"&gt;="&amp;DATE(YEAR(SETUP!$B$8),MONTH(SETUP!$B$8)+10,1),JOURNAL!$A$5:$A$504,"&lt;="&amp;EOMONTH(SETUP!$B$8,10))</f>
        <v/>
      </c>
      <c r="N44" s="15">
        <f>SUMIFS(JOURNAL!$I$5:$I$504,JOURNAL!$C$5:$C$504,$A44,JOURNAL!$A$5:$A$504,"&gt;="&amp;DATE(YEAR(SETUP!$B$8),MONTH(SETUP!$B$8)+11,1),JOURNAL!$A$5:$A$504,"&lt;="&amp;EOMONTH(SETUP!$B$8,11))-SUMIFS(JOURNAL!$J$5:$J$504,JOURNAL!$C$5:$C$504,$A44,JOURNAL!$A$5:$A$504,"&gt;="&amp;DATE(YEAR(SETUP!$B$8),MONTH(SETUP!$B$8)+11,1),JOURNAL!$A$5:$A$504,"&lt;="&amp;EOMONTH(SETUP!$B$8,11))</f>
        <v/>
      </c>
      <c r="O44" s="16">
        <f>SUM(C44:N44)</f>
        <v/>
      </c>
    </row>
    <row r="45">
      <c r="A45" t="inlineStr">
        <is>
          <t>6130</t>
        </is>
      </c>
      <c r="B45" t="inlineStr">
        <is>
          <t>Internet, airtime and software</t>
        </is>
      </c>
      <c r="C45" s="15">
        <f>SUMIFS(JOURNAL!$I$5:$I$504,JOURNAL!$C$5:$C$504,$A45,JOURNAL!$A$5:$A$504,"&gt;="&amp;DATE(YEAR(SETUP!$B$8),MONTH(SETUP!$B$8)+0,1),JOURNAL!$A$5:$A$504,"&lt;="&amp;EOMONTH(SETUP!$B$8,0))-SUMIFS(JOURNAL!$J$5:$J$504,JOURNAL!$C$5:$C$504,$A45,JOURNAL!$A$5:$A$504,"&gt;="&amp;DATE(YEAR(SETUP!$B$8),MONTH(SETUP!$B$8)+0,1),JOURNAL!$A$5:$A$504,"&lt;="&amp;EOMONTH(SETUP!$B$8,0))</f>
        <v/>
      </c>
      <c r="D45" s="15">
        <f>SUMIFS(JOURNAL!$I$5:$I$504,JOURNAL!$C$5:$C$504,$A45,JOURNAL!$A$5:$A$504,"&gt;="&amp;DATE(YEAR(SETUP!$B$8),MONTH(SETUP!$B$8)+1,1),JOURNAL!$A$5:$A$504,"&lt;="&amp;EOMONTH(SETUP!$B$8,1))-SUMIFS(JOURNAL!$J$5:$J$504,JOURNAL!$C$5:$C$504,$A45,JOURNAL!$A$5:$A$504,"&gt;="&amp;DATE(YEAR(SETUP!$B$8),MONTH(SETUP!$B$8)+1,1),JOURNAL!$A$5:$A$504,"&lt;="&amp;EOMONTH(SETUP!$B$8,1))</f>
        <v/>
      </c>
      <c r="E45" s="15">
        <f>SUMIFS(JOURNAL!$I$5:$I$504,JOURNAL!$C$5:$C$504,$A45,JOURNAL!$A$5:$A$504,"&gt;="&amp;DATE(YEAR(SETUP!$B$8),MONTH(SETUP!$B$8)+2,1),JOURNAL!$A$5:$A$504,"&lt;="&amp;EOMONTH(SETUP!$B$8,2))-SUMIFS(JOURNAL!$J$5:$J$504,JOURNAL!$C$5:$C$504,$A45,JOURNAL!$A$5:$A$504,"&gt;="&amp;DATE(YEAR(SETUP!$B$8),MONTH(SETUP!$B$8)+2,1),JOURNAL!$A$5:$A$504,"&lt;="&amp;EOMONTH(SETUP!$B$8,2))</f>
        <v/>
      </c>
      <c r="F45" s="15">
        <f>SUMIFS(JOURNAL!$I$5:$I$504,JOURNAL!$C$5:$C$504,$A45,JOURNAL!$A$5:$A$504,"&gt;="&amp;DATE(YEAR(SETUP!$B$8),MONTH(SETUP!$B$8)+3,1),JOURNAL!$A$5:$A$504,"&lt;="&amp;EOMONTH(SETUP!$B$8,3))-SUMIFS(JOURNAL!$J$5:$J$504,JOURNAL!$C$5:$C$504,$A45,JOURNAL!$A$5:$A$504,"&gt;="&amp;DATE(YEAR(SETUP!$B$8),MONTH(SETUP!$B$8)+3,1),JOURNAL!$A$5:$A$504,"&lt;="&amp;EOMONTH(SETUP!$B$8,3))</f>
        <v/>
      </c>
      <c r="G45" s="15">
        <f>SUMIFS(JOURNAL!$I$5:$I$504,JOURNAL!$C$5:$C$504,$A45,JOURNAL!$A$5:$A$504,"&gt;="&amp;DATE(YEAR(SETUP!$B$8),MONTH(SETUP!$B$8)+4,1),JOURNAL!$A$5:$A$504,"&lt;="&amp;EOMONTH(SETUP!$B$8,4))-SUMIFS(JOURNAL!$J$5:$J$504,JOURNAL!$C$5:$C$504,$A45,JOURNAL!$A$5:$A$504,"&gt;="&amp;DATE(YEAR(SETUP!$B$8),MONTH(SETUP!$B$8)+4,1),JOURNAL!$A$5:$A$504,"&lt;="&amp;EOMONTH(SETUP!$B$8,4))</f>
        <v/>
      </c>
      <c r="H45" s="15">
        <f>SUMIFS(JOURNAL!$I$5:$I$504,JOURNAL!$C$5:$C$504,$A45,JOURNAL!$A$5:$A$504,"&gt;="&amp;DATE(YEAR(SETUP!$B$8),MONTH(SETUP!$B$8)+5,1),JOURNAL!$A$5:$A$504,"&lt;="&amp;EOMONTH(SETUP!$B$8,5))-SUMIFS(JOURNAL!$J$5:$J$504,JOURNAL!$C$5:$C$504,$A45,JOURNAL!$A$5:$A$504,"&gt;="&amp;DATE(YEAR(SETUP!$B$8),MONTH(SETUP!$B$8)+5,1),JOURNAL!$A$5:$A$504,"&lt;="&amp;EOMONTH(SETUP!$B$8,5))</f>
        <v/>
      </c>
      <c r="I45" s="15">
        <f>SUMIFS(JOURNAL!$I$5:$I$504,JOURNAL!$C$5:$C$504,$A45,JOURNAL!$A$5:$A$504,"&gt;="&amp;DATE(YEAR(SETUP!$B$8),MONTH(SETUP!$B$8)+6,1),JOURNAL!$A$5:$A$504,"&lt;="&amp;EOMONTH(SETUP!$B$8,6))-SUMIFS(JOURNAL!$J$5:$J$504,JOURNAL!$C$5:$C$504,$A45,JOURNAL!$A$5:$A$504,"&gt;="&amp;DATE(YEAR(SETUP!$B$8),MONTH(SETUP!$B$8)+6,1),JOURNAL!$A$5:$A$504,"&lt;="&amp;EOMONTH(SETUP!$B$8,6))</f>
        <v/>
      </c>
      <c r="J45" s="15">
        <f>SUMIFS(JOURNAL!$I$5:$I$504,JOURNAL!$C$5:$C$504,$A45,JOURNAL!$A$5:$A$504,"&gt;="&amp;DATE(YEAR(SETUP!$B$8),MONTH(SETUP!$B$8)+7,1),JOURNAL!$A$5:$A$504,"&lt;="&amp;EOMONTH(SETUP!$B$8,7))-SUMIFS(JOURNAL!$J$5:$J$504,JOURNAL!$C$5:$C$504,$A45,JOURNAL!$A$5:$A$504,"&gt;="&amp;DATE(YEAR(SETUP!$B$8),MONTH(SETUP!$B$8)+7,1),JOURNAL!$A$5:$A$504,"&lt;="&amp;EOMONTH(SETUP!$B$8,7))</f>
        <v/>
      </c>
      <c r="K45" s="15">
        <f>SUMIFS(JOURNAL!$I$5:$I$504,JOURNAL!$C$5:$C$504,$A45,JOURNAL!$A$5:$A$504,"&gt;="&amp;DATE(YEAR(SETUP!$B$8),MONTH(SETUP!$B$8)+8,1),JOURNAL!$A$5:$A$504,"&lt;="&amp;EOMONTH(SETUP!$B$8,8))-SUMIFS(JOURNAL!$J$5:$J$504,JOURNAL!$C$5:$C$504,$A45,JOURNAL!$A$5:$A$504,"&gt;="&amp;DATE(YEAR(SETUP!$B$8),MONTH(SETUP!$B$8)+8,1),JOURNAL!$A$5:$A$504,"&lt;="&amp;EOMONTH(SETUP!$B$8,8))</f>
        <v/>
      </c>
      <c r="L45" s="15">
        <f>SUMIFS(JOURNAL!$I$5:$I$504,JOURNAL!$C$5:$C$504,$A45,JOURNAL!$A$5:$A$504,"&gt;="&amp;DATE(YEAR(SETUP!$B$8),MONTH(SETUP!$B$8)+9,1),JOURNAL!$A$5:$A$504,"&lt;="&amp;EOMONTH(SETUP!$B$8,9))-SUMIFS(JOURNAL!$J$5:$J$504,JOURNAL!$C$5:$C$504,$A45,JOURNAL!$A$5:$A$504,"&gt;="&amp;DATE(YEAR(SETUP!$B$8),MONTH(SETUP!$B$8)+9,1),JOURNAL!$A$5:$A$504,"&lt;="&amp;EOMONTH(SETUP!$B$8,9))</f>
        <v/>
      </c>
      <c r="M45" s="15">
        <f>SUMIFS(JOURNAL!$I$5:$I$504,JOURNAL!$C$5:$C$504,$A45,JOURNAL!$A$5:$A$504,"&gt;="&amp;DATE(YEAR(SETUP!$B$8),MONTH(SETUP!$B$8)+10,1),JOURNAL!$A$5:$A$504,"&lt;="&amp;EOMONTH(SETUP!$B$8,10))-SUMIFS(JOURNAL!$J$5:$J$504,JOURNAL!$C$5:$C$504,$A45,JOURNAL!$A$5:$A$504,"&gt;="&amp;DATE(YEAR(SETUP!$B$8),MONTH(SETUP!$B$8)+10,1),JOURNAL!$A$5:$A$504,"&lt;="&amp;EOMONTH(SETUP!$B$8,10))</f>
        <v/>
      </c>
      <c r="N45" s="15">
        <f>SUMIFS(JOURNAL!$I$5:$I$504,JOURNAL!$C$5:$C$504,$A45,JOURNAL!$A$5:$A$504,"&gt;="&amp;DATE(YEAR(SETUP!$B$8),MONTH(SETUP!$B$8)+11,1),JOURNAL!$A$5:$A$504,"&lt;="&amp;EOMONTH(SETUP!$B$8,11))-SUMIFS(JOURNAL!$J$5:$J$504,JOURNAL!$C$5:$C$504,$A45,JOURNAL!$A$5:$A$504,"&gt;="&amp;DATE(YEAR(SETUP!$B$8),MONTH(SETUP!$B$8)+11,1),JOURNAL!$A$5:$A$504,"&lt;="&amp;EOMONTH(SETUP!$B$8,11))</f>
        <v/>
      </c>
      <c r="O45" s="16">
        <f>SUM(C45:N45)</f>
        <v/>
      </c>
    </row>
    <row r="46">
      <c r="A46" t="inlineStr">
        <is>
          <t>6140</t>
        </is>
      </c>
      <c r="B46" t="inlineStr">
        <is>
          <t>Insurance</t>
        </is>
      </c>
      <c r="C46" s="15">
        <f>SUMIFS(JOURNAL!$I$5:$I$504,JOURNAL!$C$5:$C$504,$A46,JOURNAL!$A$5:$A$504,"&gt;="&amp;DATE(YEAR(SETUP!$B$8),MONTH(SETUP!$B$8)+0,1),JOURNAL!$A$5:$A$504,"&lt;="&amp;EOMONTH(SETUP!$B$8,0))-SUMIFS(JOURNAL!$J$5:$J$504,JOURNAL!$C$5:$C$504,$A46,JOURNAL!$A$5:$A$504,"&gt;="&amp;DATE(YEAR(SETUP!$B$8),MONTH(SETUP!$B$8)+0,1),JOURNAL!$A$5:$A$504,"&lt;="&amp;EOMONTH(SETUP!$B$8,0))</f>
        <v/>
      </c>
      <c r="D46" s="15">
        <f>SUMIFS(JOURNAL!$I$5:$I$504,JOURNAL!$C$5:$C$504,$A46,JOURNAL!$A$5:$A$504,"&gt;="&amp;DATE(YEAR(SETUP!$B$8),MONTH(SETUP!$B$8)+1,1),JOURNAL!$A$5:$A$504,"&lt;="&amp;EOMONTH(SETUP!$B$8,1))-SUMIFS(JOURNAL!$J$5:$J$504,JOURNAL!$C$5:$C$504,$A46,JOURNAL!$A$5:$A$504,"&gt;="&amp;DATE(YEAR(SETUP!$B$8),MONTH(SETUP!$B$8)+1,1),JOURNAL!$A$5:$A$504,"&lt;="&amp;EOMONTH(SETUP!$B$8,1))</f>
        <v/>
      </c>
      <c r="E46" s="15">
        <f>SUMIFS(JOURNAL!$I$5:$I$504,JOURNAL!$C$5:$C$504,$A46,JOURNAL!$A$5:$A$504,"&gt;="&amp;DATE(YEAR(SETUP!$B$8),MONTH(SETUP!$B$8)+2,1),JOURNAL!$A$5:$A$504,"&lt;="&amp;EOMONTH(SETUP!$B$8,2))-SUMIFS(JOURNAL!$J$5:$J$504,JOURNAL!$C$5:$C$504,$A46,JOURNAL!$A$5:$A$504,"&gt;="&amp;DATE(YEAR(SETUP!$B$8),MONTH(SETUP!$B$8)+2,1),JOURNAL!$A$5:$A$504,"&lt;="&amp;EOMONTH(SETUP!$B$8,2))</f>
        <v/>
      </c>
      <c r="F46" s="15">
        <f>SUMIFS(JOURNAL!$I$5:$I$504,JOURNAL!$C$5:$C$504,$A46,JOURNAL!$A$5:$A$504,"&gt;="&amp;DATE(YEAR(SETUP!$B$8),MONTH(SETUP!$B$8)+3,1),JOURNAL!$A$5:$A$504,"&lt;="&amp;EOMONTH(SETUP!$B$8,3))-SUMIFS(JOURNAL!$J$5:$J$504,JOURNAL!$C$5:$C$504,$A46,JOURNAL!$A$5:$A$504,"&gt;="&amp;DATE(YEAR(SETUP!$B$8),MONTH(SETUP!$B$8)+3,1),JOURNAL!$A$5:$A$504,"&lt;="&amp;EOMONTH(SETUP!$B$8,3))</f>
        <v/>
      </c>
      <c r="G46" s="15">
        <f>SUMIFS(JOURNAL!$I$5:$I$504,JOURNAL!$C$5:$C$504,$A46,JOURNAL!$A$5:$A$504,"&gt;="&amp;DATE(YEAR(SETUP!$B$8),MONTH(SETUP!$B$8)+4,1),JOURNAL!$A$5:$A$504,"&lt;="&amp;EOMONTH(SETUP!$B$8,4))-SUMIFS(JOURNAL!$J$5:$J$504,JOURNAL!$C$5:$C$504,$A46,JOURNAL!$A$5:$A$504,"&gt;="&amp;DATE(YEAR(SETUP!$B$8),MONTH(SETUP!$B$8)+4,1),JOURNAL!$A$5:$A$504,"&lt;="&amp;EOMONTH(SETUP!$B$8,4))</f>
        <v/>
      </c>
      <c r="H46" s="15">
        <f>SUMIFS(JOURNAL!$I$5:$I$504,JOURNAL!$C$5:$C$504,$A46,JOURNAL!$A$5:$A$504,"&gt;="&amp;DATE(YEAR(SETUP!$B$8),MONTH(SETUP!$B$8)+5,1),JOURNAL!$A$5:$A$504,"&lt;="&amp;EOMONTH(SETUP!$B$8,5))-SUMIFS(JOURNAL!$J$5:$J$504,JOURNAL!$C$5:$C$504,$A46,JOURNAL!$A$5:$A$504,"&gt;="&amp;DATE(YEAR(SETUP!$B$8),MONTH(SETUP!$B$8)+5,1),JOURNAL!$A$5:$A$504,"&lt;="&amp;EOMONTH(SETUP!$B$8,5))</f>
        <v/>
      </c>
      <c r="I46" s="15">
        <f>SUMIFS(JOURNAL!$I$5:$I$504,JOURNAL!$C$5:$C$504,$A46,JOURNAL!$A$5:$A$504,"&gt;="&amp;DATE(YEAR(SETUP!$B$8),MONTH(SETUP!$B$8)+6,1),JOURNAL!$A$5:$A$504,"&lt;="&amp;EOMONTH(SETUP!$B$8,6))-SUMIFS(JOURNAL!$J$5:$J$504,JOURNAL!$C$5:$C$504,$A46,JOURNAL!$A$5:$A$504,"&gt;="&amp;DATE(YEAR(SETUP!$B$8),MONTH(SETUP!$B$8)+6,1),JOURNAL!$A$5:$A$504,"&lt;="&amp;EOMONTH(SETUP!$B$8,6))</f>
        <v/>
      </c>
      <c r="J46" s="15">
        <f>SUMIFS(JOURNAL!$I$5:$I$504,JOURNAL!$C$5:$C$504,$A46,JOURNAL!$A$5:$A$504,"&gt;="&amp;DATE(YEAR(SETUP!$B$8),MONTH(SETUP!$B$8)+7,1),JOURNAL!$A$5:$A$504,"&lt;="&amp;EOMONTH(SETUP!$B$8,7))-SUMIFS(JOURNAL!$J$5:$J$504,JOURNAL!$C$5:$C$504,$A46,JOURNAL!$A$5:$A$504,"&gt;="&amp;DATE(YEAR(SETUP!$B$8),MONTH(SETUP!$B$8)+7,1),JOURNAL!$A$5:$A$504,"&lt;="&amp;EOMONTH(SETUP!$B$8,7))</f>
        <v/>
      </c>
      <c r="K46" s="15">
        <f>SUMIFS(JOURNAL!$I$5:$I$504,JOURNAL!$C$5:$C$504,$A46,JOURNAL!$A$5:$A$504,"&gt;="&amp;DATE(YEAR(SETUP!$B$8),MONTH(SETUP!$B$8)+8,1),JOURNAL!$A$5:$A$504,"&lt;="&amp;EOMONTH(SETUP!$B$8,8))-SUMIFS(JOURNAL!$J$5:$J$504,JOURNAL!$C$5:$C$504,$A46,JOURNAL!$A$5:$A$504,"&gt;="&amp;DATE(YEAR(SETUP!$B$8),MONTH(SETUP!$B$8)+8,1),JOURNAL!$A$5:$A$504,"&lt;="&amp;EOMONTH(SETUP!$B$8,8))</f>
        <v/>
      </c>
      <c r="L46" s="15">
        <f>SUMIFS(JOURNAL!$I$5:$I$504,JOURNAL!$C$5:$C$504,$A46,JOURNAL!$A$5:$A$504,"&gt;="&amp;DATE(YEAR(SETUP!$B$8),MONTH(SETUP!$B$8)+9,1),JOURNAL!$A$5:$A$504,"&lt;="&amp;EOMONTH(SETUP!$B$8,9))-SUMIFS(JOURNAL!$J$5:$J$504,JOURNAL!$C$5:$C$504,$A46,JOURNAL!$A$5:$A$504,"&gt;="&amp;DATE(YEAR(SETUP!$B$8),MONTH(SETUP!$B$8)+9,1),JOURNAL!$A$5:$A$504,"&lt;="&amp;EOMONTH(SETUP!$B$8,9))</f>
        <v/>
      </c>
      <c r="M46" s="15">
        <f>SUMIFS(JOURNAL!$I$5:$I$504,JOURNAL!$C$5:$C$504,$A46,JOURNAL!$A$5:$A$504,"&gt;="&amp;DATE(YEAR(SETUP!$B$8),MONTH(SETUP!$B$8)+10,1),JOURNAL!$A$5:$A$504,"&lt;="&amp;EOMONTH(SETUP!$B$8,10))-SUMIFS(JOURNAL!$J$5:$J$504,JOURNAL!$C$5:$C$504,$A46,JOURNAL!$A$5:$A$504,"&gt;="&amp;DATE(YEAR(SETUP!$B$8),MONTH(SETUP!$B$8)+10,1),JOURNAL!$A$5:$A$504,"&lt;="&amp;EOMONTH(SETUP!$B$8,10))</f>
        <v/>
      </c>
      <c r="N46" s="15">
        <f>SUMIFS(JOURNAL!$I$5:$I$504,JOURNAL!$C$5:$C$504,$A46,JOURNAL!$A$5:$A$504,"&gt;="&amp;DATE(YEAR(SETUP!$B$8),MONTH(SETUP!$B$8)+11,1),JOURNAL!$A$5:$A$504,"&lt;="&amp;EOMONTH(SETUP!$B$8,11))-SUMIFS(JOURNAL!$J$5:$J$504,JOURNAL!$C$5:$C$504,$A46,JOURNAL!$A$5:$A$504,"&gt;="&amp;DATE(YEAR(SETUP!$B$8),MONTH(SETUP!$B$8)+11,1),JOURNAL!$A$5:$A$504,"&lt;="&amp;EOMONTH(SETUP!$B$8,11))</f>
        <v/>
      </c>
      <c r="O46" s="16">
        <f>SUM(C46:N46)</f>
        <v/>
      </c>
    </row>
    <row r="47">
      <c r="A47" t="inlineStr">
        <is>
          <t>6150</t>
        </is>
      </c>
      <c r="B47" t="inlineStr">
        <is>
          <t>Repairs and maintenance</t>
        </is>
      </c>
      <c r="C47" s="15">
        <f>SUMIFS(JOURNAL!$I$5:$I$504,JOURNAL!$C$5:$C$504,$A47,JOURNAL!$A$5:$A$504,"&gt;="&amp;DATE(YEAR(SETUP!$B$8),MONTH(SETUP!$B$8)+0,1),JOURNAL!$A$5:$A$504,"&lt;="&amp;EOMONTH(SETUP!$B$8,0))-SUMIFS(JOURNAL!$J$5:$J$504,JOURNAL!$C$5:$C$504,$A47,JOURNAL!$A$5:$A$504,"&gt;="&amp;DATE(YEAR(SETUP!$B$8),MONTH(SETUP!$B$8)+0,1),JOURNAL!$A$5:$A$504,"&lt;="&amp;EOMONTH(SETUP!$B$8,0))</f>
        <v/>
      </c>
      <c r="D47" s="15">
        <f>SUMIFS(JOURNAL!$I$5:$I$504,JOURNAL!$C$5:$C$504,$A47,JOURNAL!$A$5:$A$504,"&gt;="&amp;DATE(YEAR(SETUP!$B$8),MONTH(SETUP!$B$8)+1,1),JOURNAL!$A$5:$A$504,"&lt;="&amp;EOMONTH(SETUP!$B$8,1))-SUMIFS(JOURNAL!$J$5:$J$504,JOURNAL!$C$5:$C$504,$A47,JOURNAL!$A$5:$A$504,"&gt;="&amp;DATE(YEAR(SETUP!$B$8),MONTH(SETUP!$B$8)+1,1),JOURNAL!$A$5:$A$504,"&lt;="&amp;EOMONTH(SETUP!$B$8,1))</f>
        <v/>
      </c>
      <c r="E47" s="15">
        <f>SUMIFS(JOURNAL!$I$5:$I$504,JOURNAL!$C$5:$C$504,$A47,JOURNAL!$A$5:$A$504,"&gt;="&amp;DATE(YEAR(SETUP!$B$8),MONTH(SETUP!$B$8)+2,1),JOURNAL!$A$5:$A$504,"&lt;="&amp;EOMONTH(SETUP!$B$8,2))-SUMIFS(JOURNAL!$J$5:$J$504,JOURNAL!$C$5:$C$504,$A47,JOURNAL!$A$5:$A$504,"&gt;="&amp;DATE(YEAR(SETUP!$B$8),MONTH(SETUP!$B$8)+2,1),JOURNAL!$A$5:$A$504,"&lt;="&amp;EOMONTH(SETUP!$B$8,2))</f>
        <v/>
      </c>
      <c r="F47" s="15">
        <f>SUMIFS(JOURNAL!$I$5:$I$504,JOURNAL!$C$5:$C$504,$A47,JOURNAL!$A$5:$A$504,"&gt;="&amp;DATE(YEAR(SETUP!$B$8),MONTH(SETUP!$B$8)+3,1),JOURNAL!$A$5:$A$504,"&lt;="&amp;EOMONTH(SETUP!$B$8,3))-SUMIFS(JOURNAL!$J$5:$J$504,JOURNAL!$C$5:$C$504,$A47,JOURNAL!$A$5:$A$504,"&gt;="&amp;DATE(YEAR(SETUP!$B$8),MONTH(SETUP!$B$8)+3,1),JOURNAL!$A$5:$A$504,"&lt;="&amp;EOMONTH(SETUP!$B$8,3))</f>
        <v/>
      </c>
      <c r="G47" s="15">
        <f>SUMIFS(JOURNAL!$I$5:$I$504,JOURNAL!$C$5:$C$504,$A47,JOURNAL!$A$5:$A$504,"&gt;="&amp;DATE(YEAR(SETUP!$B$8),MONTH(SETUP!$B$8)+4,1),JOURNAL!$A$5:$A$504,"&lt;="&amp;EOMONTH(SETUP!$B$8,4))-SUMIFS(JOURNAL!$J$5:$J$504,JOURNAL!$C$5:$C$504,$A47,JOURNAL!$A$5:$A$504,"&gt;="&amp;DATE(YEAR(SETUP!$B$8),MONTH(SETUP!$B$8)+4,1),JOURNAL!$A$5:$A$504,"&lt;="&amp;EOMONTH(SETUP!$B$8,4))</f>
        <v/>
      </c>
      <c r="H47" s="15">
        <f>SUMIFS(JOURNAL!$I$5:$I$504,JOURNAL!$C$5:$C$504,$A47,JOURNAL!$A$5:$A$504,"&gt;="&amp;DATE(YEAR(SETUP!$B$8),MONTH(SETUP!$B$8)+5,1),JOURNAL!$A$5:$A$504,"&lt;="&amp;EOMONTH(SETUP!$B$8,5))-SUMIFS(JOURNAL!$J$5:$J$504,JOURNAL!$C$5:$C$504,$A47,JOURNAL!$A$5:$A$504,"&gt;="&amp;DATE(YEAR(SETUP!$B$8),MONTH(SETUP!$B$8)+5,1),JOURNAL!$A$5:$A$504,"&lt;="&amp;EOMONTH(SETUP!$B$8,5))</f>
        <v/>
      </c>
      <c r="I47" s="15">
        <f>SUMIFS(JOURNAL!$I$5:$I$504,JOURNAL!$C$5:$C$504,$A47,JOURNAL!$A$5:$A$504,"&gt;="&amp;DATE(YEAR(SETUP!$B$8),MONTH(SETUP!$B$8)+6,1),JOURNAL!$A$5:$A$504,"&lt;="&amp;EOMONTH(SETUP!$B$8,6))-SUMIFS(JOURNAL!$J$5:$J$504,JOURNAL!$C$5:$C$504,$A47,JOURNAL!$A$5:$A$504,"&gt;="&amp;DATE(YEAR(SETUP!$B$8),MONTH(SETUP!$B$8)+6,1),JOURNAL!$A$5:$A$504,"&lt;="&amp;EOMONTH(SETUP!$B$8,6))</f>
        <v/>
      </c>
      <c r="J47" s="15">
        <f>SUMIFS(JOURNAL!$I$5:$I$504,JOURNAL!$C$5:$C$504,$A47,JOURNAL!$A$5:$A$504,"&gt;="&amp;DATE(YEAR(SETUP!$B$8),MONTH(SETUP!$B$8)+7,1),JOURNAL!$A$5:$A$504,"&lt;="&amp;EOMONTH(SETUP!$B$8,7))-SUMIFS(JOURNAL!$J$5:$J$504,JOURNAL!$C$5:$C$504,$A47,JOURNAL!$A$5:$A$504,"&gt;="&amp;DATE(YEAR(SETUP!$B$8),MONTH(SETUP!$B$8)+7,1),JOURNAL!$A$5:$A$504,"&lt;="&amp;EOMONTH(SETUP!$B$8,7))</f>
        <v/>
      </c>
      <c r="K47" s="15">
        <f>SUMIFS(JOURNAL!$I$5:$I$504,JOURNAL!$C$5:$C$504,$A47,JOURNAL!$A$5:$A$504,"&gt;="&amp;DATE(YEAR(SETUP!$B$8),MONTH(SETUP!$B$8)+8,1),JOURNAL!$A$5:$A$504,"&lt;="&amp;EOMONTH(SETUP!$B$8,8))-SUMIFS(JOURNAL!$J$5:$J$504,JOURNAL!$C$5:$C$504,$A47,JOURNAL!$A$5:$A$504,"&gt;="&amp;DATE(YEAR(SETUP!$B$8),MONTH(SETUP!$B$8)+8,1),JOURNAL!$A$5:$A$504,"&lt;="&amp;EOMONTH(SETUP!$B$8,8))</f>
        <v/>
      </c>
      <c r="L47" s="15">
        <f>SUMIFS(JOURNAL!$I$5:$I$504,JOURNAL!$C$5:$C$504,$A47,JOURNAL!$A$5:$A$504,"&gt;="&amp;DATE(YEAR(SETUP!$B$8),MONTH(SETUP!$B$8)+9,1),JOURNAL!$A$5:$A$504,"&lt;="&amp;EOMONTH(SETUP!$B$8,9))-SUMIFS(JOURNAL!$J$5:$J$504,JOURNAL!$C$5:$C$504,$A47,JOURNAL!$A$5:$A$504,"&gt;="&amp;DATE(YEAR(SETUP!$B$8),MONTH(SETUP!$B$8)+9,1),JOURNAL!$A$5:$A$504,"&lt;="&amp;EOMONTH(SETUP!$B$8,9))</f>
        <v/>
      </c>
      <c r="M47" s="15">
        <f>SUMIFS(JOURNAL!$I$5:$I$504,JOURNAL!$C$5:$C$504,$A47,JOURNAL!$A$5:$A$504,"&gt;="&amp;DATE(YEAR(SETUP!$B$8),MONTH(SETUP!$B$8)+10,1),JOURNAL!$A$5:$A$504,"&lt;="&amp;EOMONTH(SETUP!$B$8,10))-SUMIFS(JOURNAL!$J$5:$J$504,JOURNAL!$C$5:$C$504,$A47,JOURNAL!$A$5:$A$504,"&gt;="&amp;DATE(YEAR(SETUP!$B$8),MONTH(SETUP!$B$8)+10,1),JOURNAL!$A$5:$A$504,"&lt;="&amp;EOMONTH(SETUP!$B$8,10))</f>
        <v/>
      </c>
      <c r="N47" s="15">
        <f>SUMIFS(JOURNAL!$I$5:$I$504,JOURNAL!$C$5:$C$504,$A47,JOURNAL!$A$5:$A$504,"&gt;="&amp;DATE(YEAR(SETUP!$B$8),MONTH(SETUP!$B$8)+11,1),JOURNAL!$A$5:$A$504,"&lt;="&amp;EOMONTH(SETUP!$B$8,11))-SUMIFS(JOURNAL!$J$5:$J$504,JOURNAL!$C$5:$C$504,$A47,JOURNAL!$A$5:$A$504,"&gt;="&amp;DATE(YEAR(SETUP!$B$8),MONTH(SETUP!$B$8)+11,1),JOURNAL!$A$5:$A$504,"&lt;="&amp;EOMONTH(SETUP!$B$8,11))</f>
        <v/>
      </c>
      <c r="O47" s="16">
        <f>SUM(C47:N47)</f>
        <v/>
      </c>
    </row>
    <row r="48">
      <c r="A48" t="inlineStr">
        <is>
          <t>6160</t>
        </is>
      </c>
      <c r="B48" t="inlineStr">
        <is>
          <t>Cleaning and sanitation</t>
        </is>
      </c>
      <c r="C48" s="15">
        <f>SUMIFS(JOURNAL!$I$5:$I$504,JOURNAL!$C$5:$C$504,$A48,JOURNAL!$A$5:$A$504,"&gt;="&amp;DATE(YEAR(SETUP!$B$8),MONTH(SETUP!$B$8)+0,1),JOURNAL!$A$5:$A$504,"&lt;="&amp;EOMONTH(SETUP!$B$8,0))-SUMIFS(JOURNAL!$J$5:$J$504,JOURNAL!$C$5:$C$504,$A48,JOURNAL!$A$5:$A$504,"&gt;="&amp;DATE(YEAR(SETUP!$B$8),MONTH(SETUP!$B$8)+0,1),JOURNAL!$A$5:$A$504,"&lt;="&amp;EOMONTH(SETUP!$B$8,0))</f>
        <v/>
      </c>
      <c r="D48" s="15">
        <f>SUMIFS(JOURNAL!$I$5:$I$504,JOURNAL!$C$5:$C$504,$A48,JOURNAL!$A$5:$A$504,"&gt;="&amp;DATE(YEAR(SETUP!$B$8),MONTH(SETUP!$B$8)+1,1),JOURNAL!$A$5:$A$504,"&lt;="&amp;EOMONTH(SETUP!$B$8,1))-SUMIFS(JOURNAL!$J$5:$J$504,JOURNAL!$C$5:$C$504,$A48,JOURNAL!$A$5:$A$504,"&gt;="&amp;DATE(YEAR(SETUP!$B$8),MONTH(SETUP!$B$8)+1,1),JOURNAL!$A$5:$A$504,"&lt;="&amp;EOMONTH(SETUP!$B$8,1))</f>
        <v/>
      </c>
      <c r="E48" s="15">
        <f>SUMIFS(JOURNAL!$I$5:$I$504,JOURNAL!$C$5:$C$504,$A48,JOURNAL!$A$5:$A$504,"&gt;="&amp;DATE(YEAR(SETUP!$B$8),MONTH(SETUP!$B$8)+2,1),JOURNAL!$A$5:$A$504,"&lt;="&amp;EOMONTH(SETUP!$B$8,2))-SUMIFS(JOURNAL!$J$5:$J$504,JOURNAL!$C$5:$C$504,$A48,JOURNAL!$A$5:$A$504,"&gt;="&amp;DATE(YEAR(SETUP!$B$8),MONTH(SETUP!$B$8)+2,1),JOURNAL!$A$5:$A$504,"&lt;="&amp;EOMONTH(SETUP!$B$8,2))</f>
        <v/>
      </c>
      <c r="F48" s="15">
        <f>SUMIFS(JOURNAL!$I$5:$I$504,JOURNAL!$C$5:$C$504,$A48,JOURNAL!$A$5:$A$504,"&gt;="&amp;DATE(YEAR(SETUP!$B$8),MONTH(SETUP!$B$8)+3,1),JOURNAL!$A$5:$A$504,"&lt;="&amp;EOMONTH(SETUP!$B$8,3))-SUMIFS(JOURNAL!$J$5:$J$504,JOURNAL!$C$5:$C$504,$A48,JOURNAL!$A$5:$A$504,"&gt;="&amp;DATE(YEAR(SETUP!$B$8),MONTH(SETUP!$B$8)+3,1),JOURNAL!$A$5:$A$504,"&lt;="&amp;EOMONTH(SETUP!$B$8,3))</f>
        <v/>
      </c>
      <c r="G48" s="15">
        <f>SUMIFS(JOURNAL!$I$5:$I$504,JOURNAL!$C$5:$C$504,$A48,JOURNAL!$A$5:$A$504,"&gt;="&amp;DATE(YEAR(SETUP!$B$8),MONTH(SETUP!$B$8)+4,1),JOURNAL!$A$5:$A$504,"&lt;="&amp;EOMONTH(SETUP!$B$8,4))-SUMIFS(JOURNAL!$J$5:$J$504,JOURNAL!$C$5:$C$504,$A48,JOURNAL!$A$5:$A$504,"&gt;="&amp;DATE(YEAR(SETUP!$B$8),MONTH(SETUP!$B$8)+4,1),JOURNAL!$A$5:$A$504,"&lt;="&amp;EOMONTH(SETUP!$B$8,4))</f>
        <v/>
      </c>
      <c r="H48" s="15">
        <f>SUMIFS(JOURNAL!$I$5:$I$504,JOURNAL!$C$5:$C$504,$A48,JOURNAL!$A$5:$A$504,"&gt;="&amp;DATE(YEAR(SETUP!$B$8),MONTH(SETUP!$B$8)+5,1),JOURNAL!$A$5:$A$504,"&lt;="&amp;EOMONTH(SETUP!$B$8,5))-SUMIFS(JOURNAL!$J$5:$J$504,JOURNAL!$C$5:$C$504,$A48,JOURNAL!$A$5:$A$504,"&gt;="&amp;DATE(YEAR(SETUP!$B$8),MONTH(SETUP!$B$8)+5,1),JOURNAL!$A$5:$A$504,"&lt;="&amp;EOMONTH(SETUP!$B$8,5))</f>
        <v/>
      </c>
      <c r="I48" s="15">
        <f>SUMIFS(JOURNAL!$I$5:$I$504,JOURNAL!$C$5:$C$504,$A48,JOURNAL!$A$5:$A$504,"&gt;="&amp;DATE(YEAR(SETUP!$B$8),MONTH(SETUP!$B$8)+6,1),JOURNAL!$A$5:$A$504,"&lt;="&amp;EOMONTH(SETUP!$B$8,6))-SUMIFS(JOURNAL!$J$5:$J$504,JOURNAL!$C$5:$C$504,$A48,JOURNAL!$A$5:$A$504,"&gt;="&amp;DATE(YEAR(SETUP!$B$8),MONTH(SETUP!$B$8)+6,1),JOURNAL!$A$5:$A$504,"&lt;="&amp;EOMONTH(SETUP!$B$8,6))</f>
        <v/>
      </c>
      <c r="J48" s="15">
        <f>SUMIFS(JOURNAL!$I$5:$I$504,JOURNAL!$C$5:$C$504,$A48,JOURNAL!$A$5:$A$504,"&gt;="&amp;DATE(YEAR(SETUP!$B$8),MONTH(SETUP!$B$8)+7,1),JOURNAL!$A$5:$A$504,"&lt;="&amp;EOMONTH(SETUP!$B$8,7))-SUMIFS(JOURNAL!$J$5:$J$504,JOURNAL!$C$5:$C$504,$A48,JOURNAL!$A$5:$A$504,"&gt;="&amp;DATE(YEAR(SETUP!$B$8),MONTH(SETUP!$B$8)+7,1),JOURNAL!$A$5:$A$504,"&lt;="&amp;EOMONTH(SETUP!$B$8,7))</f>
        <v/>
      </c>
      <c r="K48" s="15">
        <f>SUMIFS(JOURNAL!$I$5:$I$504,JOURNAL!$C$5:$C$504,$A48,JOURNAL!$A$5:$A$504,"&gt;="&amp;DATE(YEAR(SETUP!$B$8),MONTH(SETUP!$B$8)+8,1),JOURNAL!$A$5:$A$504,"&lt;="&amp;EOMONTH(SETUP!$B$8,8))-SUMIFS(JOURNAL!$J$5:$J$504,JOURNAL!$C$5:$C$504,$A48,JOURNAL!$A$5:$A$504,"&gt;="&amp;DATE(YEAR(SETUP!$B$8),MONTH(SETUP!$B$8)+8,1),JOURNAL!$A$5:$A$504,"&lt;="&amp;EOMONTH(SETUP!$B$8,8))</f>
        <v/>
      </c>
      <c r="L48" s="15">
        <f>SUMIFS(JOURNAL!$I$5:$I$504,JOURNAL!$C$5:$C$504,$A48,JOURNAL!$A$5:$A$504,"&gt;="&amp;DATE(YEAR(SETUP!$B$8),MONTH(SETUP!$B$8)+9,1),JOURNAL!$A$5:$A$504,"&lt;="&amp;EOMONTH(SETUP!$B$8,9))-SUMIFS(JOURNAL!$J$5:$J$504,JOURNAL!$C$5:$C$504,$A48,JOURNAL!$A$5:$A$504,"&gt;="&amp;DATE(YEAR(SETUP!$B$8),MONTH(SETUP!$B$8)+9,1),JOURNAL!$A$5:$A$504,"&lt;="&amp;EOMONTH(SETUP!$B$8,9))</f>
        <v/>
      </c>
      <c r="M48" s="15">
        <f>SUMIFS(JOURNAL!$I$5:$I$504,JOURNAL!$C$5:$C$504,$A48,JOURNAL!$A$5:$A$504,"&gt;="&amp;DATE(YEAR(SETUP!$B$8),MONTH(SETUP!$B$8)+10,1),JOURNAL!$A$5:$A$504,"&lt;="&amp;EOMONTH(SETUP!$B$8,10))-SUMIFS(JOURNAL!$J$5:$J$504,JOURNAL!$C$5:$C$504,$A48,JOURNAL!$A$5:$A$504,"&gt;="&amp;DATE(YEAR(SETUP!$B$8),MONTH(SETUP!$B$8)+10,1),JOURNAL!$A$5:$A$504,"&lt;="&amp;EOMONTH(SETUP!$B$8,10))</f>
        <v/>
      </c>
      <c r="N48" s="15">
        <f>SUMIFS(JOURNAL!$I$5:$I$504,JOURNAL!$C$5:$C$504,$A48,JOURNAL!$A$5:$A$504,"&gt;="&amp;DATE(YEAR(SETUP!$B$8),MONTH(SETUP!$B$8)+11,1),JOURNAL!$A$5:$A$504,"&lt;="&amp;EOMONTH(SETUP!$B$8,11))-SUMIFS(JOURNAL!$J$5:$J$504,JOURNAL!$C$5:$C$504,$A48,JOURNAL!$A$5:$A$504,"&gt;="&amp;DATE(YEAR(SETUP!$B$8),MONTH(SETUP!$B$8)+11,1),JOURNAL!$A$5:$A$504,"&lt;="&amp;EOMONTH(SETUP!$B$8,11))</f>
        <v/>
      </c>
      <c r="O48" s="16">
        <f>SUM(C48:N48)</f>
        <v/>
      </c>
    </row>
    <row r="49">
      <c r="A49" t="inlineStr">
        <is>
          <t>6170</t>
        </is>
      </c>
      <c r="B49" t="inlineStr">
        <is>
          <t>Trading licence and statutory fees</t>
        </is>
      </c>
      <c r="C49" s="15">
        <f>SUMIFS(JOURNAL!$I$5:$I$504,JOURNAL!$C$5:$C$504,$A49,JOURNAL!$A$5:$A$504,"&gt;="&amp;DATE(YEAR(SETUP!$B$8),MONTH(SETUP!$B$8)+0,1),JOURNAL!$A$5:$A$504,"&lt;="&amp;EOMONTH(SETUP!$B$8,0))-SUMIFS(JOURNAL!$J$5:$J$504,JOURNAL!$C$5:$C$504,$A49,JOURNAL!$A$5:$A$504,"&gt;="&amp;DATE(YEAR(SETUP!$B$8),MONTH(SETUP!$B$8)+0,1),JOURNAL!$A$5:$A$504,"&lt;="&amp;EOMONTH(SETUP!$B$8,0))</f>
        <v/>
      </c>
      <c r="D49" s="15">
        <f>SUMIFS(JOURNAL!$I$5:$I$504,JOURNAL!$C$5:$C$504,$A49,JOURNAL!$A$5:$A$504,"&gt;="&amp;DATE(YEAR(SETUP!$B$8),MONTH(SETUP!$B$8)+1,1),JOURNAL!$A$5:$A$504,"&lt;="&amp;EOMONTH(SETUP!$B$8,1))-SUMIFS(JOURNAL!$J$5:$J$504,JOURNAL!$C$5:$C$504,$A49,JOURNAL!$A$5:$A$504,"&gt;="&amp;DATE(YEAR(SETUP!$B$8),MONTH(SETUP!$B$8)+1,1),JOURNAL!$A$5:$A$504,"&lt;="&amp;EOMONTH(SETUP!$B$8,1))</f>
        <v/>
      </c>
      <c r="E49" s="15">
        <f>SUMIFS(JOURNAL!$I$5:$I$504,JOURNAL!$C$5:$C$504,$A49,JOURNAL!$A$5:$A$504,"&gt;="&amp;DATE(YEAR(SETUP!$B$8),MONTH(SETUP!$B$8)+2,1),JOURNAL!$A$5:$A$504,"&lt;="&amp;EOMONTH(SETUP!$B$8,2))-SUMIFS(JOURNAL!$J$5:$J$504,JOURNAL!$C$5:$C$504,$A49,JOURNAL!$A$5:$A$504,"&gt;="&amp;DATE(YEAR(SETUP!$B$8),MONTH(SETUP!$B$8)+2,1),JOURNAL!$A$5:$A$504,"&lt;="&amp;EOMONTH(SETUP!$B$8,2))</f>
        <v/>
      </c>
      <c r="F49" s="15">
        <f>SUMIFS(JOURNAL!$I$5:$I$504,JOURNAL!$C$5:$C$504,$A49,JOURNAL!$A$5:$A$504,"&gt;="&amp;DATE(YEAR(SETUP!$B$8),MONTH(SETUP!$B$8)+3,1),JOURNAL!$A$5:$A$504,"&lt;="&amp;EOMONTH(SETUP!$B$8,3))-SUMIFS(JOURNAL!$J$5:$J$504,JOURNAL!$C$5:$C$504,$A49,JOURNAL!$A$5:$A$504,"&gt;="&amp;DATE(YEAR(SETUP!$B$8),MONTH(SETUP!$B$8)+3,1),JOURNAL!$A$5:$A$504,"&lt;="&amp;EOMONTH(SETUP!$B$8,3))</f>
        <v/>
      </c>
      <c r="G49" s="15">
        <f>SUMIFS(JOURNAL!$I$5:$I$504,JOURNAL!$C$5:$C$504,$A49,JOURNAL!$A$5:$A$504,"&gt;="&amp;DATE(YEAR(SETUP!$B$8),MONTH(SETUP!$B$8)+4,1),JOURNAL!$A$5:$A$504,"&lt;="&amp;EOMONTH(SETUP!$B$8,4))-SUMIFS(JOURNAL!$J$5:$J$504,JOURNAL!$C$5:$C$504,$A49,JOURNAL!$A$5:$A$504,"&gt;="&amp;DATE(YEAR(SETUP!$B$8),MONTH(SETUP!$B$8)+4,1),JOURNAL!$A$5:$A$504,"&lt;="&amp;EOMONTH(SETUP!$B$8,4))</f>
        <v/>
      </c>
      <c r="H49" s="15">
        <f>SUMIFS(JOURNAL!$I$5:$I$504,JOURNAL!$C$5:$C$504,$A49,JOURNAL!$A$5:$A$504,"&gt;="&amp;DATE(YEAR(SETUP!$B$8),MONTH(SETUP!$B$8)+5,1),JOURNAL!$A$5:$A$504,"&lt;="&amp;EOMONTH(SETUP!$B$8,5))-SUMIFS(JOURNAL!$J$5:$J$504,JOURNAL!$C$5:$C$504,$A49,JOURNAL!$A$5:$A$504,"&gt;="&amp;DATE(YEAR(SETUP!$B$8),MONTH(SETUP!$B$8)+5,1),JOURNAL!$A$5:$A$504,"&lt;="&amp;EOMONTH(SETUP!$B$8,5))</f>
        <v/>
      </c>
      <c r="I49" s="15">
        <f>SUMIFS(JOURNAL!$I$5:$I$504,JOURNAL!$C$5:$C$504,$A49,JOURNAL!$A$5:$A$504,"&gt;="&amp;DATE(YEAR(SETUP!$B$8),MONTH(SETUP!$B$8)+6,1),JOURNAL!$A$5:$A$504,"&lt;="&amp;EOMONTH(SETUP!$B$8,6))-SUMIFS(JOURNAL!$J$5:$J$504,JOURNAL!$C$5:$C$504,$A49,JOURNAL!$A$5:$A$504,"&gt;="&amp;DATE(YEAR(SETUP!$B$8),MONTH(SETUP!$B$8)+6,1),JOURNAL!$A$5:$A$504,"&lt;="&amp;EOMONTH(SETUP!$B$8,6))</f>
        <v/>
      </c>
      <c r="J49" s="15">
        <f>SUMIFS(JOURNAL!$I$5:$I$504,JOURNAL!$C$5:$C$504,$A49,JOURNAL!$A$5:$A$504,"&gt;="&amp;DATE(YEAR(SETUP!$B$8),MONTH(SETUP!$B$8)+7,1),JOURNAL!$A$5:$A$504,"&lt;="&amp;EOMONTH(SETUP!$B$8,7))-SUMIFS(JOURNAL!$J$5:$J$504,JOURNAL!$C$5:$C$504,$A49,JOURNAL!$A$5:$A$504,"&gt;="&amp;DATE(YEAR(SETUP!$B$8),MONTH(SETUP!$B$8)+7,1),JOURNAL!$A$5:$A$504,"&lt;="&amp;EOMONTH(SETUP!$B$8,7))</f>
        <v/>
      </c>
      <c r="K49" s="15">
        <f>SUMIFS(JOURNAL!$I$5:$I$504,JOURNAL!$C$5:$C$504,$A49,JOURNAL!$A$5:$A$504,"&gt;="&amp;DATE(YEAR(SETUP!$B$8),MONTH(SETUP!$B$8)+8,1),JOURNAL!$A$5:$A$504,"&lt;="&amp;EOMONTH(SETUP!$B$8,8))-SUMIFS(JOURNAL!$J$5:$J$504,JOURNAL!$C$5:$C$504,$A49,JOURNAL!$A$5:$A$504,"&gt;="&amp;DATE(YEAR(SETUP!$B$8),MONTH(SETUP!$B$8)+8,1),JOURNAL!$A$5:$A$504,"&lt;="&amp;EOMONTH(SETUP!$B$8,8))</f>
        <v/>
      </c>
      <c r="L49" s="15">
        <f>SUMIFS(JOURNAL!$I$5:$I$504,JOURNAL!$C$5:$C$504,$A49,JOURNAL!$A$5:$A$504,"&gt;="&amp;DATE(YEAR(SETUP!$B$8),MONTH(SETUP!$B$8)+9,1),JOURNAL!$A$5:$A$504,"&lt;="&amp;EOMONTH(SETUP!$B$8,9))-SUMIFS(JOURNAL!$J$5:$J$504,JOURNAL!$C$5:$C$504,$A49,JOURNAL!$A$5:$A$504,"&gt;="&amp;DATE(YEAR(SETUP!$B$8),MONTH(SETUP!$B$8)+9,1),JOURNAL!$A$5:$A$504,"&lt;="&amp;EOMONTH(SETUP!$B$8,9))</f>
        <v/>
      </c>
      <c r="M49" s="15">
        <f>SUMIFS(JOURNAL!$I$5:$I$504,JOURNAL!$C$5:$C$504,$A49,JOURNAL!$A$5:$A$504,"&gt;="&amp;DATE(YEAR(SETUP!$B$8),MONTH(SETUP!$B$8)+10,1),JOURNAL!$A$5:$A$504,"&lt;="&amp;EOMONTH(SETUP!$B$8,10))-SUMIFS(JOURNAL!$J$5:$J$504,JOURNAL!$C$5:$C$504,$A49,JOURNAL!$A$5:$A$504,"&gt;="&amp;DATE(YEAR(SETUP!$B$8),MONTH(SETUP!$B$8)+10,1),JOURNAL!$A$5:$A$504,"&lt;="&amp;EOMONTH(SETUP!$B$8,10))</f>
        <v/>
      </c>
      <c r="N49" s="15">
        <f>SUMIFS(JOURNAL!$I$5:$I$504,JOURNAL!$C$5:$C$504,$A49,JOURNAL!$A$5:$A$504,"&gt;="&amp;DATE(YEAR(SETUP!$B$8),MONTH(SETUP!$B$8)+11,1),JOURNAL!$A$5:$A$504,"&lt;="&amp;EOMONTH(SETUP!$B$8,11))-SUMIFS(JOURNAL!$J$5:$J$504,JOURNAL!$C$5:$C$504,$A49,JOURNAL!$A$5:$A$504,"&gt;="&amp;DATE(YEAR(SETUP!$B$8),MONTH(SETUP!$B$8)+11,1),JOURNAL!$A$5:$A$504,"&lt;="&amp;EOMONTH(SETUP!$B$8,11))</f>
        <v/>
      </c>
      <c r="O49" s="16">
        <f>SUM(C49:N49)</f>
        <v/>
      </c>
    </row>
    <row r="50">
      <c r="A50" t="inlineStr">
        <is>
          <t>6180</t>
        </is>
      </c>
      <c r="B50" t="inlineStr">
        <is>
          <t>Professional fees</t>
        </is>
      </c>
      <c r="C50" s="15">
        <f>SUMIFS(JOURNAL!$I$5:$I$504,JOURNAL!$C$5:$C$504,$A50,JOURNAL!$A$5:$A$504,"&gt;="&amp;DATE(YEAR(SETUP!$B$8),MONTH(SETUP!$B$8)+0,1),JOURNAL!$A$5:$A$504,"&lt;="&amp;EOMONTH(SETUP!$B$8,0))-SUMIFS(JOURNAL!$J$5:$J$504,JOURNAL!$C$5:$C$504,$A50,JOURNAL!$A$5:$A$504,"&gt;="&amp;DATE(YEAR(SETUP!$B$8),MONTH(SETUP!$B$8)+0,1),JOURNAL!$A$5:$A$504,"&lt;="&amp;EOMONTH(SETUP!$B$8,0))</f>
        <v/>
      </c>
      <c r="D50" s="15">
        <f>SUMIFS(JOURNAL!$I$5:$I$504,JOURNAL!$C$5:$C$504,$A50,JOURNAL!$A$5:$A$504,"&gt;="&amp;DATE(YEAR(SETUP!$B$8),MONTH(SETUP!$B$8)+1,1),JOURNAL!$A$5:$A$504,"&lt;="&amp;EOMONTH(SETUP!$B$8,1))-SUMIFS(JOURNAL!$J$5:$J$504,JOURNAL!$C$5:$C$504,$A50,JOURNAL!$A$5:$A$504,"&gt;="&amp;DATE(YEAR(SETUP!$B$8),MONTH(SETUP!$B$8)+1,1),JOURNAL!$A$5:$A$504,"&lt;="&amp;EOMONTH(SETUP!$B$8,1))</f>
        <v/>
      </c>
      <c r="E50" s="15">
        <f>SUMIFS(JOURNAL!$I$5:$I$504,JOURNAL!$C$5:$C$504,$A50,JOURNAL!$A$5:$A$504,"&gt;="&amp;DATE(YEAR(SETUP!$B$8),MONTH(SETUP!$B$8)+2,1),JOURNAL!$A$5:$A$504,"&lt;="&amp;EOMONTH(SETUP!$B$8,2))-SUMIFS(JOURNAL!$J$5:$J$504,JOURNAL!$C$5:$C$504,$A50,JOURNAL!$A$5:$A$504,"&gt;="&amp;DATE(YEAR(SETUP!$B$8),MONTH(SETUP!$B$8)+2,1),JOURNAL!$A$5:$A$504,"&lt;="&amp;EOMONTH(SETUP!$B$8,2))</f>
        <v/>
      </c>
      <c r="F50" s="15">
        <f>SUMIFS(JOURNAL!$I$5:$I$504,JOURNAL!$C$5:$C$504,$A50,JOURNAL!$A$5:$A$504,"&gt;="&amp;DATE(YEAR(SETUP!$B$8),MONTH(SETUP!$B$8)+3,1),JOURNAL!$A$5:$A$504,"&lt;="&amp;EOMONTH(SETUP!$B$8,3))-SUMIFS(JOURNAL!$J$5:$J$504,JOURNAL!$C$5:$C$504,$A50,JOURNAL!$A$5:$A$504,"&gt;="&amp;DATE(YEAR(SETUP!$B$8),MONTH(SETUP!$B$8)+3,1),JOURNAL!$A$5:$A$504,"&lt;="&amp;EOMONTH(SETUP!$B$8,3))</f>
        <v/>
      </c>
      <c r="G50" s="15">
        <f>SUMIFS(JOURNAL!$I$5:$I$504,JOURNAL!$C$5:$C$504,$A50,JOURNAL!$A$5:$A$504,"&gt;="&amp;DATE(YEAR(SETUP!$B$8),MONTH(SETUP!$B$8)+4,1),JOURNAL!$A$5:$A$504,"&lt;="&amp;EOMONTH(SETUP!$B$8,4))-SUMIFS(JOURNAL!$J$5:$J$504,JOURNAL!$C$5:$C$504,$A50,JOURNAL!$A$5:$A$504,"&gt;="&amp;DATE(YEAR(SETUP!$B$8),MONTH(SETUP!$B$8)+4,1),JOURNAL!$A$5:$A$504,"&lt;="&amp;EOMONTH(SETUP!$B$8,4))</f>
        <v/>
      </c>
      <c r="H50" s="15">
        <f>SUMIFS(JOURNAL!$I$5:$I$504,JOURNAL!$C$5:$C$504,$A50,JOURNAL!$A$5:$A$504,"&gt;="&amp;DATE(YEAR(SETUP!$B$8),MONTH(SETUP!$B$8)+5,1),JOURNAL!$A$5:$A$504,"&lt;="&amp;EOMONTH(SETUP!$B$8,5))-SUMIFS(JOURNAL!$J$5:$J$504,JOURNAL!$C$5:$C$504,$A50,JOURNAL!$A$5:$A$504,"&gt;="&amp;DATE(YEAR(SETUP!$B$8),MONTH(SETUP!$B$8)+5,1),JOURNAL!$A$5:$A$504,"&lt;="&amp;EOMONTH(SETUP!$B$8,5))</f>
        <v/>
      </c>
      <c r="I50" s="15">
        <f>SUMIFS(JOURNAL!$I$5:$I$504,JOURNAL!$C$5:$C$504,$A50,JOURNAL!$A$5:$A$504,"&gt;="&amp;DATE(YEAR(SETUP!$B$8),MONTH(SETUP!$B$8)+6,1),JOURNAL!$A$5:$A$504,"&lt;="&amp;EOMONTH(SETUP!$B$8,6))-SUMIFS(JOURNAL!$J$5:$J$504,JOURNAL!$C$5:$C$504,$A50,JOURNAL!$A$5:$A$504,"&gt;="&amp;DATE(YEAR(SETUP!$B$8),MONTH(SETUP!$B$8)+6,1),JOURNAL!$A$5:$A$504,"&lt;="&amp;EOMONTH(SETUP!$B$8,6))</f>
        <v/>
      </c>
      <c r="J50" s="15">
        <f>SUMIFS(JOURNAL!$I$5:$I$504,JOURNAL!$C$5:$C$504,$A50,JOURNAL!$A$5:$A$504,"&gt;="&amp;DATE(YEAR(SETUP!$B$8),MONTH(SETUP!$B$8)+7,1),JOURNAL!$A$5:$A$504,"&lt;="&amp;EOMONTH(SETUP!$B$8,7))-SUMIFS(JOURNAL!$J$5:$J$504,JOURNAL!$C$5:$C$504,$A50,JOURNAL!$A$5:$A$504,"&gt;="&amp;DATE(YEAR(SETUP!$B$8),MONTH(SETUP!$B$8)+7,1),JOURNAL!$A$5:$A$504,"&lt;="&amp;EOMONTH(SETUP!$B$8,7))</f>
        <v/>
      </c>
      <c r="K50" s="15">
        <f>SUMIFS(JOURNAL!$I$5:$I$504,JOURNAL!$C$5:$C$504,$A50,JOURNAL!$A$5:$A$504,"&gt;="&amp;DATE(YEAR(SETUP!$B$8),MONTH(SETUP!$B$8)+8,1),JOURNAL!$A$5:$A$504,"&lt;="&amp;EOMONTH(SETUP!$B$8,8))-SUMIFS(JOURNAL!$J$5:$J$504,JOURNAL!$C$5:$C$504,$A50,JOURNAL!$A$5:$A$504,"&gt;="&amp;DATE(YEAR(SETUP!$B$8),MONTH(SETUP!$B$8)+8,1),JOURNAL!$A$5:$A$504,"&lt;="&amp;EOMONTH(SETUP!$B$8,8))</f>
        <v/>
      </c>
      <c r="L50" s="15">
        <f>SUMIFS(JOURNAL!$I$5:$I$504,JOURNAL!$C$5:$C$504,$A50,JOURNAL!$A$5:$A$504,"&gt;="&amp;DATE(YEAR(SETUP!$B$8),MONTH(SETUP!$B$8)+9,1),JOURNAL!$A$5:$A$504,"&lt;="&amp;EOMONTH(SETUP!$B$8,9))-SUMIFS(JOURNAL!$J$5:$J$504,JOURNAL!$C$5:$C$504,$A50,JOURNAL!$A$5:$A$504,"&gt;="&amp;DATE(YEAR(SETUP!$B$8),MONTH(SETUP!$B$8)+9,1),JOURNAL!$A$5:$A$504,"&lt;="&amp;EOMONTH(SETUP!$B$8,9))</f>
        <v/>
      </c>
      <c r="M50" s="15">
        <f>SUMIFS(JOURNAL!$I$5:$I$504,JOURNAL!$C$5:$C$504,$A50,JOURNAL!$A$5:$A$504,"&gt;="&amp;DATE(YEAR(SETUP!$B$8),MONTH(SETUP!$B$8)+10,1),JOURNAL!$A$5:$A$504,"&lt;="&amp;EOMONTH(SETUP!$B$8,10))-SUMIFS(JOURNAL!$J$5:$J$504,JOURNAL!$C$5:$C$504,$A50,JOURNAL!$A$5:$A$504,"&gt;="&amp;DATE(YEAR(SETUP!$B$8),MONTH(SETUP!$B$8)+10,1),JOURNAL!$A$5:$A$504,"&lt;="&amp;EOMONTH(SETUP!$B$8,10))</f>
        <v/>
      </c>
      <c r="N50" s="15">
        <f>SUMIFS(JOURNAL!$I$5:$I$504,JOURNAL!$C$5:$C$504,$A50,JOURNAL!$A$5:$A$504,"&gt;="&amp;DATE(YEAR(SETUP!$B$8),MONTH(SETUP!$B$8)+11,1),JOURNAL!$A$5:$A$504,"&lt;="&amp;EOMONTH(SETUP!$B$8,11))-SUMIFS(JOURNAL!$J$5:$J$504,JOURNAL!$C$5:$C$504,$A50,JOURNAL!$A$5:$A$504,"&gt;="&amp;DATE(YEAR(SETUP!$B$8),MONTH(SETUP!$B$8)+11,1),JOURNAL!$A$5:$A$504,"&lt;="&amp;EOMONTH(SETUP!$B$8,11))</f>
        <v/>
      </c>
      <c r="O50" s="16">
        <f>SUM(C50:N50)</f>
        <v/>
      </c>
    </row>
    <row r="51">
      <c r="A51" t="inlineStr">
        <is>
          <t>6190</t>
        </is>
      </c>
      <c r="B51" t="inlineStr">
        <is>
          <t>Marketing and customer acquisition</t>
        </is>
      </c>
      <c r="C51" s="15">
        <f>SUMIFS(JOURNAL!$I$5:$I$504,JOURNAL!$C$5:$C$504,$A51,JOURNAL!$A$5:$A$504,"&gt;="&amp;DATE(YEAR(SETUP!$B$8),MONTH(SETUP!$B$8)+0,1),JOURNAL!$A$5:$A$504,"&lt;="&amp;EOMONTH(SETUP!$B$8,0))-SUMIFS(JOURNAL!$J$5:$J$504,JOURNAL!$C$5:$C$504,$A51,JOURNAL!$A$5:$A$504,"&gt;="&amp;DATE(YEAR(SETUP!$B$8),MONTH(SETUP!$B$8)+0,1),JOURNAL!$A$5:$A$504,"&lt;="&amp;EOMONTH(SETUP!$B$8,0))</f>
        <v/>
      </c>
      <c r="D51" s="15">
        <f>SUMIFS(JOURNAL!$I$5:$I$504,JOURNAL!$C$5:$C$504,$A51,JOURNAL!$A$5:$A$504,"&gt;="&amp;DATE(YEAR(SETUP!$B$8),MONTH(SETUP!$B$8)+1,1),JOURNAL!$A$5:$A$504,"&lt;="&amp;EOMONTH(SETUP!$B$8,1))-SUMIFS(JOURNAL!$J$5:$J$504,JOURNAL!$C$5:$C$504,$A51,JOURNAL!$A$5:$A$504,"&gt;="&amp;DATE(YEAR(SETUP!$B$8),MONTH(SETUP!$B$8)+1,1),JOURNAL!$A$5:$A$504,"&lt;="&amp;EOMONTH(SETUP!$B$8,1))</f>
        <v/>
      </c>
      <c r="E51" s="15">
        <f>SUMIFS(JOURNAL!$I$5:$I$504,JOURNAL!$C$5:$C$504,$A51,JOURNAL!$A$5:$A$504,"&gt;="&amp;DATE(YEAR(SETUP!$B$8),MONTH(SETUP!$B$8)+2,1),JOURNAL!$A$5:$A$504,"&lt;="&amp;EOMONTH(SETUP!$B$8,2))-SUMIFS(JOURNAL!$J$5:$J$504,JOURNAL!$C$5:$C$504,$A51,JOURNAL!$A$5:$A$504,"&gt;="&amp;DATE(YEAR(SETUP!$B$8),MONTH(SETUP!$B$8)+2,1),JOURNAL!$A$5:$A$504,"&lt;="&amp;EOMONTH(SETUP!$B$8,2))</f>
        <v/>
      </c>
      <c r="F51" s="15">
        <f>SUMIFS(JOURNAL!$I$5:$I$504,JOURNAL!$C$5:$C$504,$A51,JOURNAL!$A$5:$A$504,"&gt;="&amp;DATE(YEAR(SETUP!$B$8),MONTH(SETUP!$B$8)+3,1),JOURNAL!$A$5:$A$504,"&lt;="&amp;EOMONTH(SETUP!$B$8,3))-SUMIFS(JOURNAL!$J$5:$J$504,JOURNAL!$C$5:$C$504,$A51,JOURNAL!$A$5:$A$504,"&gt;="&amp;DATE(YEAR(SETUP!$B$8),MONTH(SETUP!$B$8)+3,1),JOURNAL!$A$5:$A$504,"&lt;="&amp;EOMONTH(SETUP!$B$8,3))</f>
        <v/>
      </c>
      <c r="G51" s="15">
        <f>SUMIFS(JOURNAL!$I$5:$I$504,JOURNAL!$C$5:$C$504,$A51,JOURNAL!$A$5:$A$504,"&gt;="&amp;DATE(YEAR(SETUP!$B$8),MONTH(SETUP!$B$8)+4,1),JOURNAL!$A$5:$A$504,"&lt;="&amp;EOMONTH(SETUP!$B$8,4))-SUMIFS(JOURNAL!$J$5:$J$504,JOURNAL!$C$5:$C$504,$A51,JOURNAL!$A$5:$A$504,"&gt;="&amp;DATE(YEAR(SETUP!$B$8),MONTH(SETUP!$B$8)+4,1),JOURNAL!$A$5:$A$504,"&lt;="&amp;EOMONTH(SETUP!$B$8,4))</f>
        <v/>
      </c>
      <c r="H51" s="15">
        <f>SUMIFS(JOURNAL!$I$5:$I$504,JOURNAL!$C$5:$C$504,$A51,JOURNAL!$A$5:$A$504,"&gt;="&amp;DATE(YEAR(SETUP!$B$8),MONTH(SETUP!$B$8)+5,1),JOURNAL!$A$5:$A$504,"&lt;="&amp;EOMONTH(SETUP!$B$8,5))-SUMIFS(JOURNAL!$J$5:$J$504,JOURNAL!$C$5:$C$504,$A51,JOURNAL!$A$5:$A$504,"&gt;="&amp;DATE(YEAR(SETUP!$B$8),MONTH(SETUP!$B$8)+5,1),JOURNAL!$A$5:$A$504,"&lt;="&amp;EOMONTH(SETUP!$B$8,5))</f>
        <v/>
      </c>
      <c r="I51" s="15">
        <f>SUMIFS(JOURNAL!$I$5:$I$504,JOURNAL!$C$5:$C$504,$A51,JOURNAL!$A$5:$A$504,"&gt;="&amp;DATE(YEAR(SETUP!$B$8),MONTH(SETUP!$B$8)+6,1),JOURNAL!$A$5:$A$504,"&lt;="&amp;EOMONTH(SETUP!$B$8,6))-SUMIFS(JOURNAL!$J$5:$J$504,JOURNAL!$C$5:$C$504,$A51,JOURNAL!$A$5:$A$504,"&gt;="&amp;DATE(YEAR(SETUP!$B$8),MONTH(SETUP!$B$8)+6,1),JOURNAL!$A$5:$A$504,"&lt;="&amp;EOMONTH(SETUP!$B$8,6))</f>
        <v/>
      </c>
      <c r="J51" s="15">
        <f>SUMIFS(JOURNAL!$I$5:$I$504,JOURNAL!$C$5:$C$504,$A51,JOURNAL!$A$5:$A$504,"&gt;="&amp;DATE(YEAR(SETUP!$B$8),MONTH(SETUP!$B$8)+7,1),JOURNAL!$A$5:$A$504,"&lt;="&amp;EOMONTH(SETUP!$B$8,7))-SUMIFS(JOURNAL!$J$5:$J$504,JOURNAL!$C$5:$C$504,$A51,JOURNAL!$A$5:$A$504,"&gt;="&amp;DATE(YEAR(SETUP!$B$8),MONTH(SETUP!$B$8)+7,1),JOURNAL!$A$5:$A$504,"&lt;="&amp;EOMONTH(SETUP!$B$8,7))</f>
        <v/>
      </c>
      <c r="K51" s="15">
        <f>SUMIFS(JOURNAL!$I$5:$I$504,JOURNAL!$C$5:$C$504,$A51,JOURNAL!$A$5:$A$504,"&gt;="&amp;DATE(YEAR(SETUP!$B$8),MONTH(SETUP!$B$8)+8,1),JOURNAL!$A$5:$A$504,"&lt;="&amp;EOMONTH(SETUP!$B$8,8))-SUMIFS(JOURNAL!$J$5:$J$504,JOURNAL!$C$5:$C$504,$A51,JOURNAL!$A$5:$A$504,"&gt;="&amp;DATE(YEAR(SETUP!$B$8),MONTH(SETUP!$B$8)+8,1),JOURNAL!$A$5:$A$504,"&lt;="&amp;EOMONTH(SETUP!$B$8,8))</f>
        <v/>
      </c>
      <c r="L51" s="15">
        <f>SUMIFS(JOURNAL!$I$5:$I$504,JOURNAL!$C$5:$C$504,$A51,JOURNAL!$A$5:$A$504,"&gt;="&amp;DATE(YEAR(SETUP!$B$8),MONTH(SETUP!$B$8)+9,1),JOURNAL!$A$5:$A$504,"&lt;="&amp;EOMONTH(SETUP!$B$8,9))-SUMIFS(JOURNAL!$J$5:$J$504,JOURNAL!$C$5:$C$504,$A51,JOURNAL!$A$5:$A$504,"&gt;="&amp;DATE(YEAR(SETUP!$B$8),MONTH(SETUP!$B$8)+9,1),JOURNAL!$A$5:$A$504,"&lt;="&amp;EOMONTH(SETUP!$B$8,9))</f>
        <v/>
      </c>
      <c r="M51" s="15">
        <f>SUMIFS(JOURNAL!$I$5:$I$504,JOURNAL!$C$5:$C$504,$A51,JOURNAL!$A$5:$A$504,"&gt;="&amp;DATE(YEAR(SETUP!$B$8),MONTH(SETUP!$B$8)+10,1),JOURNAL!$A$5:$A$504,"&lt;="&amp;EOMONTH(SETUP!$B$8,10))-SUMIFS(JOURNAL!$J$5:$J$504,JOURNAL!$C$5:$C$504,$A51,JOURNAL!$A$5:$A$504,"&gt;="&amp;DATE(YEAR(SETUP!$B$8),MONTH(SETUP!$B$8)+10,1),JOURNAL!$A$5:$A$504,"&lt;="&amp;EOMONTH(SETUP!$B$8,10))</f>
        <v/>
      </c>
      <c r="N51" s="15">
        <f>SUMIFS(JOURNAL!$I$5:$I$504,JOURNAL!$C$5:$C$504,$A51,JOURNAL!$A$5:$A$504,"&gt;="&amp;DATE(YEAR(SETUP!$B$8),MONTH(SETUP!$B$8)+11,1),JOURNAL!$A$5:$A$504,"&lt;="&amp;EOMONTH(SETUP!$B$8,11))-SUMIFS(JOURNAL!$J$5:$J$504,JOURNAL!$C$5:$C$504,$A51,JOURNAL!$A$5:$A$504,"&gt;="&amp;DATE(YEAR(SETUP!$B$8),MONTH(SETUP!$B$8)+11,1),JOURNAL!$A$5:$A$504,"&lt;="&amp;EOMONTH(SETUP!$B$8,11))</f>
        <v/>
      </c>
      <c r="O51" s="16">
        <f>SUM(C51:N51)</f>
        <v/>
      </c>
    </row>
    <row r="52">
      <c r="A52" t="inlineStr">
        <is>
          <t>6200</t>
        </is>
      </c>
      <c r="B52" t="inlineStr">
        <is>
          <t>Transaction and bank fees</t>
        </is>
      </c>
      <c r="C52" s="15">
        <f>SUMIFS(JOURNAL!$I$5:$I$504,JOURNAL!$C$5:$C$504,$A52,JOURNAL!$A$5:$A$504,"&gt;="&amp;DATE(YEAR(SETUP!$B$8),MONTH(SETUP!$B$8)+0,1),JOURNAL!$A$5:$A$504,"&lt;="&amp;EOMONTH(SETUP!$B$8,0))-SUMIFS(JOURNAL!$J$5:$J$504,JOURNAL!$C$5:$C$504,$A52,JOURNAL!$A$5:$A$504,"&gt;="&amp;DATE(YEAR(SETUP!$B$8),MONTH(SETUP!$B$8)+0,1),JOURNAL!$A$5:$A$504,"&lt;="&amp;EOMONTH(SETUP!$B$8,0))</f>
        <v/>
      </c>
      <c r="D52" s="15">
        <f>SUMIFS(JOURNAL!$I$5:$I$504,JOURNAL!$C$5:$C$504,$A52,JOURNAL!$A$5:$A$504,"&gt;="&amp;DATE(YEAR(SETUP!$B$8),MONTH(SETUP!$B$8)+1,1),JOURNAL!$A$5:$A$504,"&lt;="&amp;EOMONTH(SETUP!$B$8,1))-SUMIFS(JOURNAL!$J$5:$J$504,JOURNAL!$C$5:$C$504,$A52,JOURNAL!$A$5:$A$504,"&gt;="&amp;DATE(YEAR(SETUP!$B$8),MONTH(SETUP!$B$8)+1,1),JOURNAL!$A$5:$A$504,"&lt;="&amp;EOMONTH(SETUP!$B$8,1))</f>
        <v/>
      </c>
      <c r="E52" s="15">
        <f>SUMIFS(JOURNAL!$I$5:$I$504,JOURNAL!$C$5:$C$504,$A52,JOURNAL!$A$5:$A$504,"&gt;="&amp;DATE(YEAR(SETUP!$B$8),MONTH(SETUP!$B$8)+2,1),JOURNAL!$A$5:$A$504,"&lt;="&amp;EOMONTH(SETUP!$B$8,2))-SUMIFS(JOURNAL!$J$5:$J$504,JOURNAL!$C$5:$C$504,$A52,JOURNAL!$A$5:$A$504,"&gt;="&amp;DATE(YEAR(SETUP!$B$8),MONTH(SETUP!$B$8)+2,1),JOURNAL!$A$5:$A$504,"&lt;="&amp;EOMONTH(SETUP!$B$8,2))</f>
        <v/>
      </c>
      <c r="F52" s="15">
        <f>SUMIFS(JOURNAL!$I$5:$I$504,JOURNAL!$C$5:$C$504,$A52,JOURNAL!$A$5:$A$504,"&gt;="&amp;DATE(YEAR(SETUP!$B$8),MONTH(SETUP!$B$8)+3,1),JOURNAL!$A$5:$A$504,"&lt;="&amp;EOMONTH(SETUP!$B$8,3))-SUMIFS(JOURNAL!$J$5:$J$504,JOURNAL!$C$5:$C$504,$A52,JOURNAL!$A$5:$A$504,"&gt;="&amp;DATE(YEAR(SETUP!$B$8),MONTH(SETUP!$B$8)+3,1),JOURNAL!$A$5:$A$504,"&lt;="&amp;EOMONTH(SETUP!$B$8,3))</f>
        <v/>
      </c>
      <c r="G52" s="15">
        <f>SUMIFS(JOURNAL!$I$5:$I$504,JOURNAL!$C$5:$C$504,$A52,JOURNAL!$A$5:$A$504,"&gt;="&amp;DATE(YEAR(SETUP!$B$8),MONTH(SETUP!$B$8)+4,1),JOURNAL!$A$5:$A$504,"&lt;="&amp;EOMONTH(SETUP!$B$8,4))-SUMIFS(JOURNAL!$J$5:$J$504,JOURNAL!$C$5:$C$504,$A52,JOURNAL!$A$5:$A$504,"&gt;="&amp;DATE(YEAR(SETUP!$B$8),MONTH(SETUP!$B$8)+4,1),JOURNAL!$A$5:$A$504,"&lt;="&amp;EOMONTH(SETUP!$B$8,4))</f>
        <v/>
      </c>
      <c r="H52" s="15">
        <f>SUMIFS(JOURNAL!$I$5:$I$504,JOURNAL!$C$5:$C$504,$A52,JOURNAL!$A$5:$A$504,"&gt;="&amp;DATE(YEAR(SETUP!$B$8),MONTH(SETUP!$B$8)+5,1),JOURNAL!$A$5:$A$504,"&lt;="&amp;EOMONTH(SETUP!$B$8,5))-SUMIFS(JOURNAL!$J$5:$J$504,JOURNAL!$C$5:$C$504,$A52,JOURNAL!$A$5:$A$504,"&gt;="&amp;DATE(YEAR(SETUP!$B$8),MONTH(SETUP!$B$8)+5,1),JOURNAL!$A$5:$A$504,"&lt;="&amp;EOMONTH(SETUP!$B$8,5))</f>
        <v/>
      </c>
      <c r="I52" s="15">
        <f>SUMIFS(JOURNAL!$I$5:$I$504,JOURNAL!$C$5:$C$504,$A52,JOURNAL!$A$5:$A$504,"&gt;="&amp;DATE(YEAR(SETUP!$B$8),MONTH(SETUP!$B$8)+6,1),JOURNAL!$A$5:$A$504,"&lt;="&amp;EOMONTH(SETUP!$B$8,6))-SUMIFS(JOURNAL!$J$5:$J$504,JOURNAL!$C$5:$C$504,$A52,JOURNAL!$A$5:$A$504,"&gt;="&amp;DATE(YEAR(SETUP!$B$8),MONTH(SETUP!$B$8)+6,1),JOURNAL!$A$5:$A$504,"&lt;="&amp;EOMONTH(SETUP!$B$8,6))</f>
        <v/>
      </c>
      <c r="J52" s="15">
        <f>SUMIFS(JOURNAL!$I$5:$I$504,JOURNAL!$C$5:$C$504,$A52,JOURNAL!$A$5:$A$504,"&gt;="&amp;DATE(YEAR(SETUP!$B$8),MONTH(SETUP!$B$8)+7,1),JOURNAL!$A$5:$A$504,"&lt;="&amp;EOMONTH(SETUP!$B$8,7))-SUMIFS(JOURNAL!$J$5:$J$504,JOURNAL!$C$5:$C$504,$A52,JOURNAL!$A$5:$A$504,"&gt;="&amp;DATE(YEAR(SETUP!$B$8),MONTH(SETUP!$B$8)+7,1),JOURNAL!$A$5:$A$504,"&lt;="&amp;EOMONTH(SETUP!$B$8,7))</f>
        <v/>
      </c>
      <c r="K52" s="15">
        <f>SUMIFS(JOURNAL!$I$5:$I$504,JOURNAL!$C$5:$C$504,$A52,JOURNAL!$A$5:$A$504,"&gt;="&amp;DATE(YEAR(SETUP!$B$8),MONTH(SETUP!$B$8)+8,1),JOURNAL!$A$5:$A$504,"&lt;="&amp;EOMONTH(SETUP!$B$8,8))-SUMIFS(JOURNAL!$J$5:$J$504,JOURNAL!$C$5:$C$504,$A52,JOURNAL!$A$5:$A$504,"&gt;="&amp;DATE(YEAR(SETUP!$B$8),MONTH(SETUP!$B$8)+8,1),JOURNAL!$A$5:$A$504,"&lt;="&amp;EOMONTH(SETUP!$B$8,8))</f>
        <v/>
      </c>
      <c r="L52" s="15">
        <f>SUMIFS(JOURNAL!$I$5:$I$504,JOURNAL!$C$5:$C$504,$A52,JOURNAL!$A$5:$A$504,"&gt;="&amp;DATE(YEAR(SETUP!$B$8),MONTH(SETUP!$B$8)+9,1),JOURNAL!$A$5:$A$504,"&lt;="&amp;EOMONTH(SETUP!$B$8,9))-SUMIFS(JOURNAL!$J$5:$J$504,JOURNAL!$C$5:$C$504,$A52,JOURNAL!$A$5:$A$504,"&gt;="&amp;DATE(YEAR(SETUP!$B$8),MONTH(SETUP!$B$8)+9,1),JOURNAL!$A$5:$A$504,"&lt;="&amp;EOMONTH(SETUP!$B$8,9))</f>
        <v/>
      </c>
      <c r="M52" s="15">
        <f>SUMIFS(JOURNAL!$I$5:$I$504,JOURNAL!$C$5:$C$504,$A52,JOURNAL!$A$5:$A$504,"&gt;="&amp;DATE(YEAR(SETUP!$B$8),MONTH(SETUP!$B$8)+10,1),JOURNAL!$A$5:$A$504,"&lt;="&amp;EOMONTH(SETUP!$B$8,10))-SUMIFS(JOURNAL!$J$5:$J$504,JOURNAL!$C$5:$C$504,$A52,JOURNAL!$A$5:$A$504,"&gt;="&amp;DATE(YEAR(SETUP!$B$8),MONTH(SETUP!$B$8)+10,1),JOURNAL!$A$5:$A$504,"&lt;="&amp;EOMONTH(SETUP!$B$8,10))</f>
        <v/>
      </c>
      <c r="N52" s="15">
        <f>SUMIFS(JOURNAL!$I$5:$I$504,JOURNAL!$C$5:$C$504,$A52,JOURNAL!$A$5:$A$504,"&gt;="&amp;DATE(YEAR(SETUP!$B$8),MONTH(SETUP!$B$8)+11,1),JOURNAL!$A$5:$A$504,"&lt;="&amp;EOMONTH(SETUP!$B$8,11))-SUMIFS(JOURNAL!$J$5:$J$504,JOURNAL!$C$5:$C$504,$A52,JOURNAL!$A$5:$A$504,"&gt;="&amp;DATE(YEAR(SETUP!$B$8),MONTH(SETUP!$B$8)+11,1),JOURNAL!$A$5:$A$504,"&lt;="&amp;EOMONTH(SETUP!$B$8,11))</f>
        <v/>
      </c>
      <c r="O52" s="16">
        <f>SUM(C52:N52)</f>
        <v/>
      </c>
    </row>
    <row r="53">
      <c r="A53" t="inlineStr">
        <is>
          <t>6210</t>
        </is>
      </c>
      <c r="B53" t="inlineStr">
        <is>
          <t>Other operating costs</t>
        </is>
      </c>
      <c r="C53" s="15">
        <f>SUMIFS(JOURNAL!$I$5:$I$504,JOURNAL!$C$5:$C$504,$A53,JOURNAL!$A$5:$A$504,"&gt;="&amp;DATE(YEAR(SETUP!$B$8),MONTH(SETUP!$B$8)+0,1),JOURNAL!$A$5:$A$504,"&lt;="&amp;EOMONTH(SETUP!$B$8,0))-SUMIFS(JOURNAL!$J$5:$J$504,JOURNAL!$C$5:$C$504,$A53,JOURNAL!$A$5:$A$504,"&gt;="&amp;DATE(YEAR(SETUP!$B$8),MONTH(SETUP!$B$8)+0,1),JOURNAL!$A$5:$A$504,"&lt;="&amp;EOMONTH(SETUP!$B$8,0))</f>
        <v/>
      </c>
      <c r="D53" s="15">
        <f>SUMIFS(JOURNAL!$I$5:$I$504,JOURNAL!$C$5:$C$504,$A53,JOURNAL!$A$5:$A$504,"&gt;="&amp;DATE(YEAR(SETUP!$B$8),MONTH(SETUP!$B$8)+1,1),JOURNAL!$A$5:$A$504,"&lt;="&amp;EOMONTH(SETUP!$B$8,1))-SUMIFS(JOURNAL!$J$5:$J$504,JOURNAL!$C$5:$C$504,$A53,JOURNAL!$A$5:$A$504,"&gt;="&amp;DATE(YEAR(SETUP!$B$8),MONTH(SETUP!$B$8)+1,1),JOURNAL!$A$5:$A$504,"&lt;="&amp;EOMONTH(SETUP!$B$8,1))</f>
        <v/>
      </c>
      <c r="E53" s="15">
        <f>SUMIFS(JOURNAL!$I$5:$I$504,JOURNAL!$C$5:$C$504,$A53,JOURNAL!$A$5:$A$504,"&gt;="&amp;DATE(YEAR(SETUP!$B$8),MONTH(SETUP!$B$8)+2,1),JOURNAL!$A$5:$A$504,"&lt;="&amp;EOMONTH(SETUP!$B$8,2))-SUMIFS(JOURNAL!$J$5:$J$504,JOURNAL!$C$5:$C$504,$A53,JOURNAL!$A$5:$A$504,"&gt;="&amp;DATE(YEAR(SETUP!$B$8),MONTH(SETUP!$B$8)+2,1),JOURNAL!$A$5:$A$504,"&lt;="&amp;EOMONTH(SETUP!$B$8,2))</f>
        <v/>
      </c>
      <c r="F53" s="15">
        <f>SUMIFS(JOURNAL!$I$5:$I$504,JOURNAL!$C$5:$C$504,$A53,JOURNAL!$A$5:$A$504,"&gt;="&amp;DATE(YEAR(SETUP!$B$8),MONTH(SETUP!$B$8)+3,1),JOURNAL!$A$5:$A$504,"&lt;="&amp;EOMONTH(SETUP!$B$8,3))-SUMIFS(JOURNAL!$J$5:$J$504,JOURNAL!$C$5:$C$504,$A53,JOURNAL!$A$5:$A$504,"&gt;="&amp;DATE(YEAR(SETUP!$B$8),MONTH(SETUP!$B$8)+3,1),JOURNAL!$A$5:$A$504,"&lt;="&amp;EOMONTH(SETUP!$B$8,3))</f>
        <v/>
      </c>
      <c r="G53" s="15">
        <f>SUMIFS(JOURNAL!$I$5:$I$504,JOURNAL!$C$5:$C$504,$A53,JOURNAL!$A$5:$A$504,"&gt;="&amp;DATE(YEAR(SETUP!$B$8),MONTH(SETUP!$B$8)+4,1),JOURNAL!$A$5:$A$504,"&lt;="&amp;EOMONTH(SETUP!$B$8,4))-SUMIFS(JOURNAL!$J$5:$J$504,JOURNAL!$C$5:$C$504,$A53,JOURNAL!$A$5:$A$504,"&gt;="&amp;DATE(YEAR(SETUP!$B$8),MONTH(SETUP!$B$8)+4,1),JOURNAL!$A$5:$A$504,"&lt;="&amp;EOMONTH(SETUP!$B$8,4))</f>
        <v/>
      </c>
      <c r="H53" s="15">
        <f>SUMIFS(JOURNAL!$I$5:$I$504,JOURNAL!$C$5:$C$504,$A53,JOURNAL!$A$5:$A$504,"&gt;="&amp;DATE(YEAR(SETUP!$B$8),MONTH(SETUP!$B$8)+5,1),JOURNAL!$A$5:$A$504,"&lt;="&amp;EOMONTH(SETUP!$B$8,5))-SUMIFS(JOURNAL!$J$5:$J$504,JOURNAL!$C$5:$C$504,$A53,JOURNAL!$A$5:$A$504,"&gt;="&amp;DATE(YEAR(SETUP!$B$8),MONTH(SETUP!$B$8)+5,1),JOURNAL!$A$5:$A$504,"&lt;="&amp;EOMONTH(SETUP!$B$8,5))</f>
        <v/>
      </c>
      <c r="I53" s="15">
        <f>SUMIFS(JOURNAL!$I$5:$I$504,JOURNAL!$C$5:$C$504,$A53,JOURNAL!$A$5:$A$504,"&gt;="&amp;DATE(YEAR(SETUP!$B$8),MONTH(SETUP!$B$8)+6,1),JOURNAL!$A$5:$A$504,"&lt;="&amp;EOMONTH(SETUP!$B$8,6))-SUMIFS(JOURNAL!$J$5:$J$504,JOURNAL!$C$5:$C$504,$A53,JOURNAL!$A$5:$A$504,"&gt;="&amp;DATE(YEAR(SETUP!$B$8),MONTH(SETUP!$B$8)+6,1),JOURNAL!$A$5:$A$504,"&lt;="&amp;EOMONTH(SETUP!$B$8,6))</f>
        <v/>
      </c>
      <c r="J53" s="15">
        <f>SUMIFS(JOURNAL!$I$5:$I$504,JOURNAL!$C$5:$C$504,$A53,JOURNAL!$A$5:$A$504,"&gt;="&amp;DATE(YEAR(SETUP!$B$8),MONTH(SETUP!$B$8)+7,1),JOURNAL!$A$5:$A$504,"&lt;="&amp;EOMONTH(SETUP!$B$8,7))-SUMIFS(JOURNAL!$J$5:$J$504,JOURNAL!$C$5:$C$504,$A53,JOURNAL!$A$5:$A$504,"&gt;="&amp;DATE(YEAR(SETUP!$B$8),MONTH(SETUP!$B$8)+7,1),JOURNAL!$A$5:$A$504,"&lt;="&amp;EOMONTH(SETUP!$B$8,7))</f>
        <v/>
      </c>
      <c r="K53" s="15">
        <f>SUMIFS(JOURNAL!$I$5:$I$504,JOURNAL!$C$5:$C$504,$A53,JOURNAL!$A$5:$A$504,"&gt;="&amp;DATE(YEAR(SETUP!$B$8),MONTH(SETUP!$B$8)+8,1),JOURNAL!$A$5:$A$504,"&lt;="&amp;EOMONTH(SETUP!$B$8,8))-SUMIFS(JOURNAL!$J$5:$J$504,JOURNAL!$C$5:$C$504,$A53,JOURNAL!$A$5:$A$504,"&gt;="&amp;DATE(YEAR(SETUP!$B$8),MONTH(SETUP!$B$8)+8,1),JOURNAL!$A$5:$A$504,"&lt;="&amp;EOMONTH(SETUP!$B$8,8))</f>
        <v/>
      </c>
      <c r="L53" s="15">
        <f>SUMIFS(JOURNAL!$I$5:$I$504,JOURNAL!$C$5:$C$504,$A53,JOURNAL!$A$5:$A$504,"&gt;="&amp;DATE(YEAR(SETUP!$B$8),MONTH(SETUP!$B$8)+9,1),JOURNAL!$A$5:$A$504,"&lt;="&amp;EOMONTH(SETUP!$B$8,9))-SUMIFS(JOURNAL!$J$5:$J$504,JOURNAL!$C$5:$C$504,$A53,JOURNAL!$A$5:$A$504,"&gt;="&amp;DATE(YEAR(SETUP!$B$8),MONTH(SETUP!$B$8)+9,1),JOURNAL!$A$5:$A$504,"&lt;="&amp;EOMONTH(SETUP!$B$8,9))</f>
        <v/>
      </c>
      <c r="M53" s="15">
        <f>SUMIFS(JOURNAL!$I$5:$I$504,JOURNAL!$C$5:$C$504,$A53,JOURNAL!$A$5:$A$504,"&gt;="&amp;DATE(YEAR(SETUP!$B$8),MONTH(SETUP!$B$8)+10,1),JOURNAL!$A$5:$A$504,"&lt;="&amp;EOMONTH(SETUP!$B$8,10))-SUMIFS(JOURNAL!$J$5:$J$504,JOURNAL!$C$5:$C$504,$A53,JOURNAL!$A$5:$A$504,"&gt;="&amp;DATE(YEAR(SETUP!$B$8),MONTH(SETUP!$B$8)+10,1),JOURNAL!$A$5:$A$504,"&lt;="&amp;EOMONTH(SETUP!$B$8,10))</f>
        <v/>
      </c>
      <c r="N53" s="15">
        <f>SUMIFS(JOURNAL!$I$5:$I$504,JOURNAL!$C$5:$C$504,$A53,JOURNAL!$A$5:$A$504,"&gt;="&amp;DATE(YEAR(SETUP!$B$8),MONTH(SETUP!$B$8)+11,1),JOURNAL!$A$5:$A$504,"&lt;="&amp;EOMONTH(SETUP!$B$8,11))-SUMIFS(JOURNAL!$J$5:$J$504,JOURNAL!$C$5:$C$504,$A53,JOURNAL!$A$5:$A$504,"&gt;="&amp;DATE(YEAR(SETUP!$B$8),MONTH(SETUP!$B$8)+11,1),JOURNAL!$A$5:$A$504,"&lt;="&amp;EOMONTH(SETUP!$B$8,11))</f>
        <v/>
      </c>
      <c r="O53" s="16">
        <f>SUM(C53:N53)</f>
        <v/>
      </c>
    </row>
    <row r="54">
      <c r="A54" t="inlineStr">
        <is>
          <t>7000</t>
        </is>
      </c>
      <c r="B54" t="inlineStr">
        <is>
          <t>Depreciation</t>
        </is>
      </c>
      <c r="C54" s="15">
        <f>SUMIFS(JOURNAL!$I$5:$I$504,JOURNAL!$C$5:$C$504,$A54,JOURNAL!$A$5:$A$504,"&gt;="&amp;DATE(YEAR(SETUP!$B$8),MONTH(SETUP!$B$8)+0,1),JOURNAL!$A$5:$A$504,"&lt;="&amp;EOMONTH(SETUP!$B$8,0))-SUMIFS(JOURNAL!$J$5:$J$504,JOURNAL!$C$5:$C$504,$A54,JOURNAL!$A$5:$A$504,"&gt;="&amp;DATE(YEAR(SETUP!$B$8),MONTH(SETUP!$B$8)+0,1),JOURNAL!$A$5:$A$504,"&lt;="&amp;EOMONTH(SETUP!$B$8,0))</f>
        <v/>
      </c>
      <c r="D54" s="15">
        <f>SUMIFS(JOURNAL!$I$5:$I$504,JOURNAL!$C$5:$C$504,$A54,JOURNAL!$A$5:$A$504,"&gt;="&amp;DATE(YEAR(SETUP!$B$8),MONTH(SETUP!$B$8)+1,1),JOURNAL!$A$5:$A$504,"&lt;="&amp;EOMONTH(SETUP!$B$8,1))-SUMIFS(JOURNAL!$J$5:$J$504,JOURNAL!$C$5:$C$504,$A54,JOURNAL!$A$5:$A$504,"&gt;="&amp;DATE(YEAR(SETUP!$B$8),MONTH(SETUP!$B$8)+1,1),JOURNAL!$A$5:$A$504,"&lt;="&amp;EOMONTH(SETUP!$B$8,1))</f>
        <v/>
      </c>
      <c r="E54" s="15">
        <f>SUMIFS(JOURNAL!$I$5:$I$504,JOURNAL!$C$5:$C$504,$A54,JOURNAL!$A$5:$A$504,"&gt;="&amp;DATE(YEAR(SETUP!$B$8),MONTH(SETUP!$B$8)+2,1),JOURNAL!$A$5:$A$504,"&lt;="&amp;EOMONTH(SETUP!$B$8,2))-SUMIFS(JOURNAL!$J$5:$J$504,JOURNAL!$C$5:$C$504,$A54,JOURNAL!$A$5:$A$504,"&gt;="&amp;DATE(YEAR(SETUP!$B$8),MONTH(SETUP!$B$8)+2,1),JOURNAL!$A$5:$A$504,"&lt;="&amp;EOMONTH(SETUP!$B$8,2))</f>
        <v/>
      </c>
      <c r="F54" s="15">
        <f>SUMIFS(JOURNAL!$I$5:$I$504,JOURNAL!$C$5:$C$504,$A54,JOURNAL!$A$5:$A$504,"&gt;="&amp;DATE(YEAR(SETUP!$B$8),MONTH(SETUP!$B$8)+3,1),JOURNAL!$A$5:$A$504,"&lt;="&amp;EOMONTH(SETUP!$B$8,3))-SUMIFS(JOURNAL!$J$5:$J$504,JOURNAL!$C$5:$C$504,$A54,JOURNAL!$A$5:$A$504,"&gt;="&amp;DATE(YEAR(SETUP!$B$8),MONTH(SETUP!$B$8)+3,1),JOURNAL!$A$5:$A$504,"&lt;="&amp;EOMONTH(SETUP!$B$8,3))</f>
        <v/>
      </c>
      <c r="G54" s="15">
        <f>SUMIFS(JOURNAL!$I$5:$I$504,JOURNAL!$C$5:$C$504,$A54,JOURNAL!$A$5:$A$504,"&gt;="&amp;DATE(YEAR(SETUP!$B$8),MONTH(SETUP!$B$8)+4,1),JOURNAL!$A$5:$A$504,"&lt;="&amp;EOMONTH(SETUP!$B$8,4))-SUMIFS(JOURNAL!$J$5:$J$504,JOURNAL!$C$5:$C$504,$A54,JOURNAL!$A$5:$A$504,"&gt;="&amp;DATE(YEAR(SETUP!$B$8),MONTH(SETUP!$B$8)+4,1),JOURNAL!$A$5:$A$504,"&lt;="&amp;EOMONTH(SETUP!$B$8,4))</f>
        <v/>
      </c>
      <c r="H54" s="15">
        <f>SUMIFS(JOURNAL!$I$5:$I$504,JOURNAL!$C$5:$C$504,$A54,JOURNAL!$A$5:$A$504,"&gt;="&amp;DATE(YEAR(SETUP!$B$8),MONTH(SETUP!$B$8)+5,1),JOURNAL!$A$5:$A$504,"&lt;="&amp;EOMONTH(SETUP!$B$8,5))-SUMIFS(JOURNAL!$J$5:$J$504,JOURNAL!$C$5:$C$504,$A54,JOURNAL!$A$5:$A$504,"&gt;="&amp;DATE(YEAR(SETUP!$B$8),MONTH(SETUP!$B$8)+5,1),JOURNAL!$A$5:$A$504,"&lt;="&amp;EOMONTH(SETUP!$B$8,5))</f>
        <v/>
      </c>
      <c r="I54" s="15">
        <f>SUMIFS(JOURNAL!$I$5:$I$504,JOURNAL!$C$5:$C$504,$A54,JOURNAL!$A$5:$A$504,"&gt;="&amp;DATE(YEAR(SETUP!$B$8),MONTH(SETUP!$B$8)+6,1),JOURNAL!$A$5:$A$504,"&lt;="&amp;EOMONTH(SETUP!$B$8,6))-SUMIFS(JOURNAL!$J$5:$J$504,JOURNAL!$C$5:$C$504,$A54,JOURNAL!$A$5:$A$504,"&gt;="&amp;DATE(YEAR(SETUP!$B$8),MONTH(SETUP!$B$8)+6,1),JOURNAL!$A$5:$A$504,"&lt;="&amp;EOMONTH(SETUP!$B$8,6))</f>
        <v/>
      </c>
      <c r="J54" s="15">
        <f>SUMIFS(JOURNAL!$I$5:$I$504,JOURNAL!$C$5:$C$504,$A54,JOURNAL!$A$5:$A$504,"&gt;="&amp;DATE(YEAR(SETUP!$B$8),MONTH(SETUP!$B$8)+7,1),JOURNAL!$A$5:$A$504,"&lt;="&amp;EOMONTH(SETUP!$B$8,7))-SUMIFS(JOURNAL!$J$5:$J$504,JOURNAL!$C$5:$C$504,$A54,JOURNAL!$A$5:$A$504,"&gt;="&amp;DATE(YEAR(SETUP!$B$8),MONTH(SETUP!$B$8)+7,1),JOURNAL!$A$5:$A$504,"&lt;="&amp;EOMONTH(SETUP!$B$8,7))</f>
        <v/>
      </c>
      <c r="K54" s="15">
        <f>SUMIFS(JOURNAL!$I$5:$I$504,JOURNAL!$C$5:$C$504,$A54,JOURNAL!$A$5:$A$504,"&gt;="&amp;DATE(YEAR(SETUP!$B$8),MONTH(SETUP!$B$8)+8,1),JOURNAL!$A$5:$A$504,"&lt;="&amp;EOMONTH(SETUP!$B$8,8))-SUMIFS(JOURNAL!$J$5:$J$504,JOURNAL!$C$5:$C$504,$A54,JOURNAL!$A$5:$A$504,"&gt;="&amp;DATE(YEAR(SETUP!$B$8),MONTH(SETUP!$B$8)+8,1),JOURNAL!$A$5:$A$504,"&lt;="&amp;EOMONTH(SETUP!$B$8,8))</f>
        <v/>
      </c>
      <c r="L54" s="15">
        <f>SUMIFS(JOURNAL!$I$5:$I$504,JOURNAL!$C$5:$C$504,$A54,JOURNAL!$A$5:$A$504,"&gt;="&amp;DATE(YEAR(SETUP!$B$8),MONTH(SETUP!$B$8)+9,1),JOURNAL!$A$5:$A$504,"&lt;="&amp;EOMONTH(SETUP!$B$8,9))-SUMIFS(JOURNAL!$J$5:$J$504,JOURNAL!$C$5:$C$504,$A54,JOURNAL!$A$5:$A$504,"&gt;="&amp;DATE(YEAR(SETUP!$B$8),MONTH(SETUP!$B$8)+9,1),JOURNAL!$A$5:$A$504,"&lt;="&amp;EOMONTH(SETUP!$B$8,9))</f>
        <v/>
      </c>
      <c r="M54" s="15">
        <f>SUMIFS(JOURNAL!$I$5:$I$504,JOURNAL!$C$5:$C$504,$A54,JOURNAL!$A$5:$A$504,"&gt;="&amp;DATE(YEAR(SETUP!$B$8),MONTH(SETUP!$B$8)+10,1),JOURNAL!$A$5:$A$504,"&lt;="&amp;EOMONTH(SETUP!$B$8,10))-SUMIFS(JOURNAL!$J$5:$J$504,JOURNAL!$C$5:$C$504,$A54,JOURNAL!$A$5:$A$504,"&gt;="&amp;DATE(YEAR(SETUP!$B$8),MONTH(SETUP!$B$8)+10,1),JOURNAL!$A$5:$A$504,"&lt;="&amp;EOMONTH(SETUP!$B$8,10))</f>
        <v/>
      </c>
      <c r="N54" s="15">
        <f>SUMIFS(JOURNAL!$I$5:$I$504,JOURNAL!$C$5:$C$504,$A54,JOURNAL!$A$5:$A$504,"&gt;="&amp;DATE(YEAR(SETUP!$B$8),MONTH(SETUP!$B$8)+11,1),JOURNAL!$A$5:$A$504,"&lt;="&amp;EOMONTH(SETUP!$B$8,11))-SUMIFS(JOURNAL!$J$5:$J$504,JOURNAL!$C$5:$C$504,$A54,JOURNAL!$A$5:$A$504,"&gt;="&amp;DATE(YEAR(SETUP!$B$8),MONTH(SETUP!$B$8)+11,1),JOURNAL!$A$5:$A$504,"&lt;="&amp;EOMONTH(SETUP!$B$8,11))</f>
        <v/>
      </c>
      <c r="O54" s="16">
        <f>SUM(C54:N54)</f>
        <v/>
      </c>
    </row>
    <row r="55">
      <c r="A55" t="inlineStr">
        <is>
          <t>8000</t>
        </is>
      </c>
      <c r="B55" t="inlineStr">
        <is>
          <t>Corporate income tax</t>
        </is>
      </c>
      <c r="C55" s="15">
        <f>SUMIFS(JOURNAL!$I$5:$I$504,JOURNAL!$C$5:$C$504,$A55,JOURNAL!$A$5:$A$504,"&gt;="&amp;DATE(YEAR(SETUP!$B$8),MONTH(SETUP!$B$8)+0,1),JOURNAL!$A$5:$A$504,"&lt;="&amp;EOMONTH(SETUP!$B$8,0))-SUMIFS(JOURNAL!$J$5:$J$504,JOURNAL!$C$5:$C$504,$A55,JOURNAL!$A$5:$A$504,"&gt;="&amp;DATE(YEAR(SETUP!$B$8),MONTH(SETUP!$B$8)+0,1),JOURNAL!$A$5:$A$504,"&lt;="&amp;EOMONTH(SETUP!$B$8,0))</f>
        <v/>
      </c>
      <c r="D55" s="15">
        <f>SUMIFS(JOURNAL!$I$5:$I$504,JOURNAL!$C$5:$C$504,$A55,JOURNAL!$A$5:$A$504,"&gt;="&amp;DATE(YEAR(SETUP!$B$8),MONTH(SETUP!$B$8)+1,1),JOURNAL!$A$5:$A$504,"&lt;="&amp;EOMONTH(SETUP!$B$8,1))-SUMIFS(JOURNAL!$J$5:$J$504,JOURNAL!$C$5:$C$504,$A55,JOURNAL!$A$5:$A$504,"&gt;="&amp;DATE(YEAR(SETUP!$B$8),MONTH(SETUP!$B$8)+1,1),JOURNAL!$A$5:$A$504,"&lt;="&amp;EOMONTH(SETUP!$B$8,1))</f>
        <v/>
      </c>
      <c r="E55" s="15">
        <f>SUMIFS(JOURNAL!$I$5:$I$504,JOURNAL!$C$5:$C$504,$A55,JOURNAL!$A$5:$A$504,"&gt;="&amp;DATE(YEAR(SETUP!$B$8),MONTH(SETUP!$B$8)+2,1),JOURNAL!$A$5:$A$504,"&lt;="&amp;EOMONTH(SETUP!$B$8,2))-SUMIFS(JOURNAL!$J$5:$J$504,JOURNAL!$C$5:$C$504,$A55,JOURNAL!$A$5:$A$504,"&gt;="&amp;DATE(YEAR(SETUP!$B$8),MONTH(SETUP!$B$8)+2,1),JOURNAL!$A$5:$A$504,"&lt;="&amp;EOMONTH(SETUP!$B$8,2))</f>
        <v/>
      </c>
      <c r="F55" s="15">
        <f>SUMIFS(JOURNAL!$I$5:$I$504,JOURNAL!$C$5:$C$504,$A55,JOURNAL!$A$5:$A$504,"&gt;="&amp;DATE(YEAR(SETUP!$B$8),MONTH(SETUP!$B$8)+3,1),JOURNAL!$A$5:$A$504,"&lt;="&amp;EOMONTH(SETUP!$B$8,3))-SUMIFS(JOURNAL!$J$5:$J$504,JOURNAL!$C$5:$C$504,$A55,JOURNAL!$A$5:$A$504,"&gt;="&amp;DATE(YEAR(SETUP!$B$8),MONTH(SETUP!$B$8)+3,1),JOURNAL!$A$5:$A$504,"&lt;="&amp;EOMONTH(SETUP!$B$8,3))</f>
        <v/>
      </c>
      <c r="G55" s="15">
        <f>SUMIFS(JOURNAL!$I$5:$I$504,JOURNAL!$C$5:$C$504,$A55,JOURNAL!$A$5:$A$504,"&gt;="&amp;DATE(YEAR(SETUP!$B$8),MONTH(SETUP!$B$8)+4,1),JOURNAL!$A$5:$A$504,"&lt;="&amp;EOMONTH(SETUP!$B$8,4))-SUMIFS(JOURNAL!$J$5:$J$504,JOURNAL!$C$5:$C$504,$A55,JOURNAL!$A$5:$A$504,"&gt;="&amp;DATE(YEAR(SETUP!$B$8),MONTH(SETUP!$B$8)+4,1),JOURNAL!$A$5:$A$504,"&lt;="&amp;EOMONTH(SETUP!$B$8,4))</f>
        <v/>
      </c>
      <c r="H55" s="15">
        <f>SUMIFS(JOURNAL!$I$5:$I$504,JOURNAL!$C$5:$C$504,$A55,JOURNAL!$A$5:$A$504,"&gt;="&amp;DATE(YEAR(SETUP!$B$8),MONTH(SETUP!$B$8)+5,1),JOURNAL!$A$5:$A$504,"&lt;="&amp;EOMONTH(SETUP!$B$8,5))-SUMIFS(JOURNAL!$J$5:$J$504,JOURNAL!$C$5:$C$504,$A55,JOURNAL!$A$5:$A$504,"&gt;="&amp;DATE(YEAR(SETUP!$B$8),MONTH(SETUP!$B$8)+5,1),JOURNAL!$A$5:$A$504,"&lt;="&amp;EOMONTH(SETUP!$B$8,5))</f>
        <v/>
      </c>
      <c r="I55" s="15">
        <f>SUMIFS(JOURNAL!$I$5:$I$504,JOURNAL!$C$5:$C$504,$A55,JOURNAL!$A$5:$A$504,"&gt;="&amp;DATE(YEAR(SETUP!$B$8),MONTH(SETUP!$B$8)+6,1),JOURNAL!$A$5:$A$504,"&lt;="&amp;EOMONTH(SETUP!$B$8,6))-SUMIFS(JOURNAL!$J$5:$J$504,JOURNAL!$C$5:$C$504,$A55,JOURNAL!$A$5:$A$504,"&gt;="&amp;DATE(YEAR(SETUP!$B$8),MONTH(SETUP!$B$8)+6,1),JOURNAL!$A$5:$A$504,"&lt;="&amp;EOMONTH(SETUP!$B$8,6))</f>
        <v/>
      </c>
      <c r="J55" s="15">
        <f>SUMIFS(JOURNAL!$I$5:$I$504,JOURNAL!$C$5:$C$504,$A55,JOURNAL!$A$5:$A$504,"&gt;="&amp;DATE(YEAR(SETUP!$B$8),MONTH(SETUP!$B$8)+7,1),JOURNAL!$A$5:$A$504,"&lt;="&amp;EOMONTH(SETUP!$B$8,7))-SUMIFS(JOURNAL!$J$5:$J$504,JOURNAL!$C$5:$C$504,$A55,JOURNAL!$A$5:$A$504,"&gt;="&amp;DATE(YEAR(SETUP!$B$8),MONTH(SETUP!$B$8)+7,1),JOURNAL!$A$5:$A$504,"&lt;="&amp;EOMONTH(SETUP!$B$8,7))</f>
        <v/>
      </c>
      <c r="K55" s="15">
        <f>SUMIFS(JOURNAL!$I$5:$I$504,JOURNAL!$C$5:$C$504,$A55,JOURNAL!$A$5:$A$504,"&gt;="&amp;DATE(YEAR(SETUP!$B$8),MONTH(SETUP!$B$8)+8,1),JOURNAL!$A$5:$A$504,"&lt;="&amp;EOMONTH(SETUP!$B$8,8))-SUMIFS(JOURNAL!$J$5:$J$504,JOURNAL!$C$5:$C$504,$A55,JOURNAL!$A$5:$A$504,"&gt;="&amp;DATE(YEAR(SETUP!$B$8),MONTH(SETUP!$B$8)+8,1),JOURNAL!$A$5:$A$504,"&lt;="&amp;EOMONTH(SETUP!$B$8,8))</f>
        <v/>
      </c>
      <c r="L55" s="15">
        <f>SUMIFS(JOURNAL!$I$5:$I$504,JOURNAL!$C$5:$C$504,$A55,JOURNAL!$A$5:$A$504,"&gt;="&amp;DATE(YEAR(SETUP!$B$8),MONTH(SETUP!$B$8)+9,1),JOURNAL!$A$5:$A$504,"&lt;="&amp;EOMONTH(SETUP!$B$8,9))-SUMIFS(JOURNAL!$J$5:$J$504,JOURNAL!$C$5:$C$504,$A55,JOURNAL!$A$5:$A$504,"&gt;="&amp;DATE(YEAR(SETUP!$B$8),MONTH(SETUP!$B$8)+9,1),JOURNAL!$A$5:$A$504,"&lt;="&amp;EOMONTH(SETUP!$B$8,9))</f>
        <v/>
      </c>
      <c r="M55" s="15">
        <f>SUMIFS(JOURNAL!$I$5:$I$504,JOURNAL!$C$5:$C$504,$A55,JOURNAL!$A$5:$A$504,"&gt;="&amp;DATE(YEAR(SETUP!$B$8),MONTH(SETUP!$B$8)+10,1),JOURNAL!$A$5:$A$504,"&lt;="&amp;EOMONTH(SETUP!$B$8,10))-SUMIFS(JOURNAL!$J$5:$J$504,JOURNAL!$C$5:$C$504,$A55,JOURNAL!$A$5:$A$504,"&gt;="&amp;DATE(YEAR(SETUP!$B$8),MONTH(SETUP!$B$8)+10,1),JOURNAL!$A$5:$A$504,"&lt;="&amp;EOMONTH(SETUP!$B$8,10))</f>
        <v/>
      </c>
      <c r="N55" s="15">
        <f>SUMIFS(JOURNAL!$I$5:$I$504,JOURNAL!$C$5:$C$504,$A55,JOURNAL!$A$5:$A$504,"&gt;="&amp;DATE(YEAR(SETUP!$B$8),MONTH(SETUP!$B$8)+11,1),JOURNAL!$A$5:$A$504,"&lt;="&amp;EOMONTH(SETUP!$B$8,11))-SUMIFS(JOURNAL!$J$5:$J$504,JOURNAL!$C$5:$C$504,$A55,JOURNAL!$A$5:$A$504,"&gt;="&amp;DATE(YEAR(SETUP!$B$8),MONTH(SETUP!$B$8)+11,1),JOURNAL!$A$5:$A$504,"&lt;="&amp;EOMONTH(SETUP!$B$8,11))</f>
        <v/>
      </c>
      <c r="O55" s="16">
        <f>SUM(C55:N55)</f>
        <v/>
      </c>
    </row>
    <row r="56">
      <c r="A56" t="inlineStr">
        <is>
          <t>9000</t>
        </is>
      </c>
      <c r="B56" t="inlineStr">
        <is>
          <t>Bad debt provision</t>
        </is>
      </c>
      <c r="C56" s="15">
        <f>SUMIFS(JOURNAL!$I$5:$I$504,JOURNAL!$C$5:$C$504,$A56,JOURNAL!$A$5:$A$504,"&gt;="&amp;DATE(YEAR(SETUP!$B$8),MONTH(SETUP!$B$8)+0,1),JOURNAL!$A$5:$A$504,"&lt;="&amp;EOMONTH(SETUP!$B$8,0))-SUMIFS(JOURNAL!$J$5:$J$504,JOURNAL!$C$5:$C$504,$A56,JOURNAL!$A$5:$A$504,"&gt;="&amp;DATE(YEAR(SETUP!$B$8),MONTH(SETUP!$B$8)+0,1),JOURNAL!$A$5:$A$504,"&lt;="&amp;EOMONTH(SETUP!$B$8,0))</f>
        <v/>
      </c>
      <c r="D56" s="15">
        <f>SUMIFS(JOURNAL!$I$5:$I$504,JOURNAL!$C$5:$C$504,$A56,JOURNAL!$A$5:$A$504,"&gt;="&amp;DATE(YEAR(SETUP!$B$8),MONTH(SETUP!$B$8)+1,1),JOURNAL!$A$5:$A$504,"&lt;="&amp;EOMONTH(SETUP!$B$8,1))-SUMIFS(JOURNAL!$J$5:$J$504,JOURNAL!$C$5:$C$504,$A56,JOURNAL!$A$5:$A$504,"&gt;="&amp;DATE(YEAR(SETUP!$B$8),MONTH(SETUP!$B$8)+1,1),JOURNAL!$A$5:$A$504,"&lt;="&amp;EOMONTH(SETUP!$B$8,1))</f>
        <v/>
      </c>
      <c r="E56" s="15">
        <f>SUMIFS(JOURNAL!$I$5:$I$504,JOURNAL!$C$5:$C$504,$A56,JOURNAL!$A$5:$A$504,"&gt;="&amp;DATE(YEAR(SETUP!$B$8),MONTH(SETUP!$B$8)+2,1),JOURNAL!$A$5:$A$504,"&lt;="&amp;EOMONTH(SETUP!$B$8,2))-SUMIFS(JOURNAL!$J$5:$J$504,JOURNAL!$C$5:$C$504,$A56,JOURNAL!$A$5:$A$504,"&gt;="&amp;DATE(YEAR(SETUP!$B$8),MONTH(SETUP!$B$8)+2,1),JOURNAL!$A$5:$A$504,"&lt;="&amp;EOMONTH(SETUP!$B$8,2))</f>
        <v/>
      </c>
      <c r="F56" s="15">
        <f>SUMIFS(JOURNAL!$I$5:$I$504,JOURNAL!$C$5:$C$504,$A56,JOURNAL!$A$5:$A$504,"&gt;="&amp;DATE(YEAR(SETUP!$B$8),MONTH(SETUP!$B$8)+3,1),JOURNAL!$A$5:$A$504,"&lt;="&amp;EOMONTH(SETUP!$B$8,3))-SUMIFS(JOURNAL!$J$5:$J$504,JOURNAL!$C$5:$C$504,$A56,JOURNAL!$A$5:$A$504,"&gt;="&amp;DATE(YEAR(SETUP!$B$8),MONTH(SETUP!$B$8)+3,1),JOURNAL!$A$5:$A$504,"&lt;="&amp;EOMONTH(SETUP!$B$8,3))</f>
        <v/>
      </c>
      <c r="G56" s="15">
        <f>SUMIFS(JOURNAL!$I$5:$I$504,JOURNAL!$C$5:$C$504,$A56,JOURNAL!$A$5:$A$504,"&gt;="&amp;DATE(YEAR(SETUP!$B$8),MONTH(SETUP!$B$8)+4,1),JOURNAL!$A$5:$A$504,"&lt;="&amp;EOMONTH(SETUP!$B$8,4))-SUMIFS(JOURNAL!$J$5:$J$504,JOURNAL!$C$5:$C$504,$A56,JOURNAL!$A$5:$A$504,"&gt;="&amp;DATE(YEAR(SETUP!$B$8),MONTH(SETUP!$B$8)+4,1),JOURNAL!$A$5:$A$504,"&lt;="&amp;EOMONTH(SETUP!$B$8,4))</f>
        <v/>
      </c>
      <c r="H56" s="15">
        <f>SUMIFS(JOURNAL!$I$5:$I$504,JOURNAL!$C$5:$C$504,$A56,JOURNAL!$A$5:$A$504,"&gt;="&amp;DATE(YEAR(SETUP!$B$8),MONTH(SETUP!$B$8)+5,1),JOURNAL!$A$5:$A$504,"&lt;="&amp;EOMONTH(SETUP!$B$8,5))-SUMIFS(JOURNAL!$J$5:$J$504,JOURNAL!$C$5:$C$504,$A56,JOURNAL!$A$5:$A$504,"&gt;="&amp;DATE(YEAR(SETUP!$B$8),MONTH(SETUP!$B$8)+5,1),JOURNAL!$A$5:$A$504,"&lt;="&amp;EOMONTH(SETUP!$B$8,5))</f>
        <v/>
      </c>
      <c r="I56" s="15">
        <f>SUMIFS(JOURNAL!$I$5:$I$504,JOURNAL!$C$5:$C$504,$A56,JOURNAL!$A$5:$A$504,"&gt;="&amp;DATE(YEAR(SETUP!$B$8),MONTH(SETUP!$B$8)+6,1),JOURNAL!$A$5:$A$504,"&lt;="&amp;EOMONTH(SETUP!$B$8,6))-SUMIFS(JOURNAL!$J$5:$J$504,JOURNAL!$C$5:$C$504,$A56,JOURNAL!$A$5:$A$504,"&gt;="&amp;DATE(YEAR(SETUP!$B$8),MONTH(SETUP!$B$8)+6,1),JOURNAL!$A$5:$A$504,"&lt;="&amp;EOMONTH(SETUP!$B$8,6))</f>
        <v/>
      </c>
      <c r="J56" s="15">
        <f>SUMIFS(JOURNAL!$I$5:$I$504,JOURNAL!$C$5:$C$504,$A56,JOURNAL!$A$5:$A$504,"&gt;="&amp;DATE(YEAR(SETUP!$B$8),MONTH(SETUP!$B$8)+7,1),JOURNAL!$A$5:$A$504,"&lt;="&amp;EOMONTH(SETUP!$B$8,7))-SUMIFS(JOURNAL!$J$5:$J$504,JOURNAL!$C$5:$C$504,$A56,JOURNAL!$A$5:$A$504,"&gt;="&amp;DATE(YEAR(SETUP!$B$8),MONTH(SETUP!$B$8)+7,1),JOURNAL!$A$5:$A$504,"&lt;="&amp;EOMONTH(SETUP!$B$8,7))</f>
        <v/>
      </c>
      <c r="K56" s="15">
        <f>SUMIFS(JOURNAL!$I$5:$I$504,JOURNAL!$C$5:$C$504,$A56,JOURNAL!$A$5:$A$504,"&gt;="&amp;DATE(YEAR(SETUP!$B$8),MONTH(SETUP!$B$8)+8,1),JOURNAL!$A$5:$A$504,"&lt;="&amp;EOMONTH(SETUP!$B$8,8))-SUMIFS(JOURNAL!$J$5:$J$504,JOURNAL!$C$5:$C$504,$A56,JOURNAL!$A$5:$A$504,"&gt;="&amp;DATE(YEAR(SETUP!$B$8),MONTH(SETUP!$B$8)+8,1),JOURNAL!$A$5:$A$504,"&lt;="&amp;EOMONTH(SETUP!$B$8,8))</f>
        <v/>
      </c>
      <c r="L56" s="15">
        <f>SUMIFS(JOURNAL!$I$5:$I$504,JOURNAL!$C$5:$C$504,$A56,JOURNAL!$A$5:$A$504,"&gt;="&amp;DATE(YEAR(SETUP!$B$8),MONTH(SETUP!$B$8)+9,1),JOURNAL!$A$5:$A$504,"&lt;="&amp;EOMONTH(SETUP!$B$8,9))-SUMIFS(JOURNAL!$J$5:$J$504,JOURNAL!$C$5:$C$504,$A56,JOURNAL!$A$5:$A$504,"&gt;="&amp;DATE(YEAR(SETUP!$B$8),MONTH(SETUP!$B$8)+9,1),JOURNAL!$A$5:$A$504,"&lt;="&amp;EOMONTH(SETUP!$B$8,9))</f>
        <v/>
      </c>
      <c r="M56" s="15">
        <f>SUMIFS(JOURNAL!$I$5:$I$504,JOURNAL!$C$5:$C$504,$A56,JOURNAL!$A$5:$A$504,"&gt;="&amp;DATE(YEAR(SETUP!$B$8),MONTH(SETUP!$B$8)+10,1),JOURNAL!$A$5:$A$504,"&lt;="&amp;EOMONTH(SETUP!$B$8,10))-SUMIFS(JOURNAL!$J$5:$J$504,JOURNAL!$C$5:$C$504,$A56,JOURNAL!$A$5:$A$504,"&gt;="&amp;DATE(YEAR(SETUP!$B$8),MONTH(SETUP!$B$8)+10,1),JOURNAL!$A$5:$A$504,"&lt;="&amp;EOMONTH(SETUP!$B$8,10))</f>
        <v/>
      </c>
      <c r="N56" s="15">
        <f>SUMIFS(JOURNAL!$I$5:$I$504,JOURNAL!$C$5:$C$504,$A56,JOURNAL!$A$5:$A$504,"&gt;="&amp;DATE(YEAR(SETUP!$B$8),MONTH(SETUP!$B$8)+11,1),JOURNAL!$A$5:$A$504,"&lt;="&amp;EOMONTH(SETUP!$B$8,11))-SUMIFS(JOURNAL!$J$5:$J$504,JOURNAL!$C$5:$C$504,$A56,JOURNAL!$A$5:$A$504,"&gt;="&amp;DATE(YEAR(SETUP!$B$8),MONTH(SETUP!$B$8)+11,1),JOURNAL!$A$5:$A$504,"&lt;="&amp;EOMONTH(SETUP!$B$8,11))</f>
        <v/>
      </c>
      <c r="O56" s="16">
        <f>SUM(C56:N56)</f>
        <v/>
      </c>
    </row>
    <row r="58">
      <c r="B58" s="2" t="inlineStr">
        <is>
          <t>CHECK — journal must balance (debits = credits)</t>
        </is>
      </c>
      <c r="C58" s="19">
        <f>ROUND(SUM(JOURNAL!$I$5:$I$504)-SUM(JOURNAL!$J$5:$J$504),0)</f>
        <v/>
      </c>
      <c r="D58" s="3" t="inlineStr">
        <is>
          <t>Must be zero. If it is not, a journal entry is one-sided.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5"/>
  <sheetViews>
    <sheetView workbookViewId="0">
      <pane xSplit="2" topLeftCell="C1" activePane="topRight" state="frozen"/>
      <selection pane="topRight" activeCell="A1" sqref="A1"/>
    </sheetView>
  </sheetViews>
  <sheetFormatPr baseColWidth="8" defaultRowHeight="15"/>
  <cols>
    <col width="44" customWidth="1" min="1" max="1"/>
    <col width="2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BUDGET — FY1 plan. This is the TARGET half of Target vs Actuals.</t>
        </is>
      </c>
    </row>
    <row r="2">
      <c r="A2" s="3" t="inlineStr">
        <is>
          <t>From the Year-1 model, restated to Oct-26 start. This is what we said we would do. TvA compares it to what we actually did.</t>
        </is>
      </c>
    </row>
    <row r="4">
      <c r="C4" s="18" t="inlineStr">
        <is>
          <t>Oct-26</t>
        </is>
      </c>
      <c r="D4" s="18" t="inlineStr">
        <is>
          <t>Nov-26</t>
        </is>
      </c>
      <c r="E4" s="18" t="inlineStr">
        <is>
          <t>Dec-26</t>
        </is>
      </c>
      <c r="F4" s="18" t="inlineStr">
        <is>
          <t>Jan-27</t>
        </is>
      </c>
      <c r="G4" s="18" t="inlineStr">
        <is>
          <t>Feb-27</t>
        </is>
      </c>
      <c r="H4" s="18" t="inlineStr">
        <is>
          <t>Mar-27</t>
        </is>
      </c>
      <c r="I4" s="18" t="inlineStr">
        <is>
          <t>Apr-27</t>
        </is>
      </c>
      <c r="J4" s="18" t="inlineStr">
        <is>
          <t>May-27</t>
        </is>
      </c>
      <c r="K4" s="18" t="inlineStr">
        <is>
          <t>Jun-27</t>
        </is>
      </c>
      <c r="L4" s="18" t="inlineStr">
        <is>
          <t>Jul-27</t>
        </is>
      </c>
      <c r="M4" s="18" t="inlineStr">
        <is>
          <t>Aug-27</t>
        </is>
      </c>
      <c r="N4" s="18" t="inlineStr">
        <is>
          <t>Sep-27</t>
        </is>
      </c>
      <c r="O4" s="18" t="inlineStr">
        <is>
          <t>FY1 TOTAL</t>
        </is>
      </c>
    </row>
    <row r="5">
      <c r="A5" s="2" t="inlineStr">
        <is>
          <t>NET REVENUE</t>
        </is>
      </c>
      <c r="C5" s="16" t="n">
        <v>71515659</v>
      </c>
      <c r="D5" s="16" t="n">
        <v>88697546</v>
      </c>
      <c r="E5" s="16" t="n">
        <v>104744328</v>
      </c>
      <c r="F5" s="16" t="n">
        <v>119797947</v>
      </c>
      <c r="G5" s="16" t="n">
        <v>133993782</v>
      </c>
      <c r="H5" s="16" t="n">
        <v>147461023</v>
      </c>
      <c r="I5" s="16" t="n">
        <v>160323021</v>
      </c>
      <c r="J5" s="16" t="n">
        <v>172697614</v>
      </c>
      <c r="K5" s="16" t="n">
        <v>184697433</v>
      </c>
      <c r="L5" s="16" t="n">
        <v>196430183</v>
      </c>
      <c r="M5" s="16" t="n">
        <v>207998913</v>
      </c>
      <c r="N5" s="16" t="n">
        <v>219502263</v>
      </c>
      <c r="O5" s="16">
        <f>SUM(C5:N5)</f>
        <v/>
      </c>
    </row>
    <row r="6">
      <c r="A6" t="inlineStr">
        <is>
          <t>Cost of sales</t>
        </is>
      </c>
      <c r="C6" s="15" t="n">
        <v>50496944</v>
      </c>
      <c r="D6" s="15" t="n">
        <v>61962807</v>
      </c>
      <c r="E6" s="15" t="n">
        <v>72074723</v>
      </c>
      <c r="F6" s="15" t="n">
        <v>80890265</v>
      </c>
      <c r="G6" s="15" t="n">
        <v>88464342</v>
      </c>
      <c r="H6" s="15" t="n">
        <v>94849354</v>
      </c>
      <c r="I6" s="15" t="n">
        <v>100095332</v>
      </c>
      <c r="J6" s="15" t="n">
        <v>104250071</v>
      </c>
      <c r="K6" s="15" t="n">
        <v>107359255</v>
      </c>
      <c r="L6" s="15" t="n">
        <v>109466568</v>
      </c>
      <c r="M6" s="15" t="n">
        <v>110613809</v>
      </c>
      <c r="N6" s="15" t="n">
        <v>110840984</v>
      </c>
      <c r="O6" s="16">
        <f>SUM(C6:N6)</f>
        <v/>
      </c>
    </row>
    <row r="7">
      <c r="A7" t="inlineStr">
        <is>
          <t>Jar cost expensed</t>
        </is>
      </c>
      <c r="C7" s="15" t="n">
        <v>8250000</v>
      </c>
      <c r="D7" s="15" t="n">
        <v>8250000</v>
      </c>
      <c r="E7" s="15" t="n">
        <v>8250000</v>
      </c>
      <c r="F7" s="15" t="n">
        <v>8250000</v>
      </c>
      <c r="G7" s="15" t="n">
        <v>8250000</v>
      </c>
      <c r="H7" s="15" t="n">
        <v>8250000</v>
      </c>
      <c r="I7" s="15" t="n">
        <v>8250000</v>
      </c>
      <c r="J7" s="15" t="n">
        <v>8250000</v>
      </c>
      <c r="K7" s="15" t="n">
        <v>8250000</v>
      </c>
      <c r="L7" s="15" t="n">
        <v>8250000</v>
      </c>
      <c r="M7" s="15" t="n">
        <v>8250000</v>
      </c>
      <c r="N7" s="15" t="n">
        <v>8250000</v>
      </c>
      <c r="O7" s="16">
        <f>SUM(C7:N7)</f>
        <v/>
      </c>
    </row>
    <row r="8">
      <c r="A8" s="2" t="inlineStr">
        <is>
          <t>GROSS PROFIT</t>
        </is>
      </c>
      <c r="C8" s="16" t="n">
        <v>12768715</v>
      </c>
      <c r="D8" s="16" t="n">
        <v>18484739</v>
      </c>
      <c r="E8" s="16" t="n">
        <v>24419605</v>
      </c>
      <c r="F8" s="16" t="n">
        <v>30657682</v>
      </c>
      <c r="G8" s="16" t="n">
        <v>37279440</v>
      </c>
      <c r="H8" s="16" t="n">
        <v>44361669</v>
      </c>
      <c r="I8" s="16" t="n">
        <v>51977689</v>
      </c>
      <c r="J8" s="16" t="n">
        <v>60197543</v>
      </c>
      <c r="K8" s="16" t="n">
        <v>69088178</v>
      </c>
      <c r="L8" s="16" t="n">
        <v>78713615</v>
      </c>
      <c r="M8" s="16" t="n">
        <v>89135104</v>
      </c>
      <c r="N8" s="16" t="n">
        <v>100411279</v>
      </c>
      <c r="O8" s="16">
        <f>SUM(C8:N8)</f>
        <v/>
      </c>
    </row>
    <row r="9">
      <c r="A9" t="inlineStr">
        <is>
          <t>Fixed operating costs</t>
        </is>
      </c>
      <c r="C9" s="15" t="n">
        <v>8163542</v>
      </c>
      <c r="D9" s="15" t="n">
        <v>8163542</v>
      </c>
      <c r="E9" s="15" t="n">
        <v>8163542</v>
      </c>
      <c r="F9" s="15" t="n">
        <v>8163542</v>
      </c>
      <c r="G9" s="15" t="n">
        <v>8163542</v>
      </c>
      <c r="H9" s="15" t="n">
        <v>8163542</v>
      </c>
      <c r="I9" s="15" t="n">
        <v>8163542</v>
      </c>
      <c r="J9" s="15" t="n">
        <v>8163542</v>
      </c>
      <c r="K9" s="15" t="n">
        <v>8163542</v>
      </c>
      <c r="L9" s="15" t="n">
        <v>8163542</v>
      </c>
      <c r="M9" s="15" t="n">
        <v>8163542</v>
      </c>
      <c r="N9" s="15" t="n">
        <v>8163542</v>
      </c>
      <c r="O9" s="16">
        <f>SUM(C9:N9)</f>
        <v/>
      </c>
    </row>
    <row r="10">
      <c r="A10" t="inlineStr">
        <is>
          <t>Salaries and wages</t>
        </is>
      </c>
      <c r="C10" s="15" t="n">
        <v>2575000</v>
      </c>
      <c r="D10" s="15" t="n">
        <v>2575000</v>
      </c>
      <c r="E10" s="15" t="n">
        <v>2575000</v>
      </c>
      <c r="F10" s="15" t="n">
        <v>2575000</v>
      </c>
      <c r="G10" s="15" t="n">
        <v>13575000</v>
      </c>
      <c r="H10" s="15" t="n">
        <v>13575000</v>
      </c>
      <c r="I10" s="15" t="n">
        <v>13575000</v>
      </c>
      <c r="J10" s="15" t="n">
        <v>13575000</v>
      </c>
      <c r="K10" s="15" t="n">
        <v>13575000</v>
      </c>
      <c r="L10" s="15" t="n">
        <v>13575000</v>
      </c>
      <c r="M10" s="15" t="n">
        <v>13575000</v>
      </c>
      <c r="N10" s="15" t="n">
        <v>13575000</v>
      </c>
      <c r="O10" s="16">
        <f>SUM(C10:N10)</f>
        <v/>
      </c>
    </row>
    <row r="11">
      <c r="A11" t="inlineStr">
        <is>
          <t>Transaction fees</t>
        </is>
      </c>
      <c r="C11" s="15" t="n">
        <v>488280</v>
      </c>
      <c r="D11" s="15" t="n">
        <v>608238</v>
      </c>
      <c r="E11" s="15" t="n">
        <v>721771</v>
      </c>
      <c r="F11" s="15" t="n">
        <v>829702</v>
      </c>
      <c r="G11" s="15" t="n">
        <v>932817</v>
      </c>
      <c r="H11" s="15" t="n">
        <v>1031864</v>
      </c>
      <c r="I11" s="15" t="n">
        <v>1127561</v>
      </c>
      <c r="J11" s="15" t="n">
        <v>1220590</v>
      </c>
      <c r="K11" s="15" t="n">
        <v>1311606</v>
      </c>
      <c r="L11" s="15" t="n">
        <v>1401232</v>
      </c>
      <c r="M11" s="15" t="n">
        <v>1490068</v>
      </c>
      <c r="N11" s="15" t="n">
        <v>1578684</v>
      </c>
      <c r="O11" s="16">
        <f>SUM(C11:N11)</f>
        <v/>
      </c>
    </row>
    <row r="12">
      <c r="A12" t="inlineStr">
        <is>
          <t>Depreciation</t>
        </is>
      </c>
      <c r="C12" s="15" t="n">
        <v>5250000</v>
      </c>
      <c r="D12" s="15" t="n">
        <v>5250000</v>
      </c>
      <c r="E12" s="15" t="n">
        <v>5250000</v>
      </c>
      <c r="F12" s="15" t="n">
        <v>5250000</v>
      </c>
      <c r="G12" s="15" t="n">
        <v>5250000</v>
      </c>
      <c r="H12" s="15" t="n">
        <v>5250000</v>
      </c>
      <c r="I12" s="15" t="n">
        <v>5250000</v>
      </c>
      <c r="J12" s="15" t="n">
        <v>5250000</v>
      </c>
      <c r="K12" s="15" t="n">
        <v>5250000</v>
      </c>
      <c r="L12" s="15" t="n">
        <v>5250000</v>
      </c>
      <c r="M12" s="15" t="n">
        <v>5250000</v>
      </c>
      <c r="N12" s="15" t="n">
        <v>5250000</v>
      </c>
      <c r="O12" s="16">
        <f>SUM(C12:N12)</f>
        <v/>
      </c>
    </row>
    <row r="13">
      <c r="A13" s="2" t="inlineStr">
        <is>
          <t>NET PROFIT (pre-tax)</t>
        </is>
      </c>
      <c r="C13" s="16" t="n">
        <v>-3708107</v>
      </c>
      <c r="D13" s="16" t="n">
        <v>1887959</v>
      </c>
      <c r="E13" s="16" t="n">
        <v>7709292</v>
      </c>
      <c r="F13" s="16" t="n">
        <v>13839438</v>
      </c>
      <c r="G13" s="16" t="n">
        <v>9358081</v>
      </c>
      <c r="H13" s="16" t="n">
        <v>16341263</v>
      </c>
      <c r="I13" s="16" t="n">
        <v>23861586</v>
      </c>
      <c r="J13" s="16" t="n">
        <v>31988411</v>
      </c>
      <c r="K13" s="16" t="n">
        <v>40788030</v>
      </c>
      <c r="L13" s="16" t="n">
        <v>50323841</v>
      </c>
      <c r="M13" s="16" t="n">
        <v>60656494</v>
      </c>
      <c r="N13" s="16" t="n">
        <v>71844053</v>
      </c>
      <c r="O13" s="16">
        <f>SUM(C13:N13)</f>
        <v/>
      </c>
    </row>
    <row r="15">
      <c r="A15" s="3" t="inlineStr">
        <is>
          <t>Budget is fixed once FY1 starts. You do not edit a target to match an actual — that is how a company lies to itself.</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6"/>
  <sheetViews>
    <sheetView workbookViewId="0">
      <pane xSplit="2" topLeftCell="C1" activePane="topRight" state="frozen"/>
      <selection pane="topRight" activeCell="A1" sqref="A1"/>
    </sheetView>
  </sheetViews>
  <sheetFormatPr baseColWidth="8" defaultRowHeight="15"/>
  <cols>
    <col width="44" customWidth="1" min="1" max="1"/>
    <col width="2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PROFIT OR LOSS — ACTUAL</t>
        </is>
      </c>
    </row>
    <row r="2">
      <c r="A2" s="3" t="inlineStr">
        <is>
          <t>Built from JOURNAL. Revenue is stated NET of VAT and excise. Empty until trading starts 1 Oct 2026.</t>
        </is>
      </c>
    </row>
    <row r="4">
      <c r="C4" s="18" t="inlineStr">
        <is>
          <t>Oct-26</t>
        </is>
      </c>
      <c r="D4" s="18" t="inlineStr">
        <is>
          <t>Nov-26</t>
        </is>
      </c>
      <c r="E4" s="18" t="inlineStr">
        <is>
          <t>Dec-26</t>
        </is>
      </c>
      <c r="F4" s="18" t="inlineStr">
        <is>
          <t>Jan-27</t>
        </is>
      </c>
      <c r="G4" s="18" t="inlineStr">
        <is>
          <t>Feb-27</t>
        </is>
      </c>
      <c r="H4" s="18" t="inlineStr">
        <is>
          <t>Mar-27</t>
        </is>
      </c>
      <c r="I4" s="18" t="inlineStr">
        <is>
          <t>Apr-27</t>
        </is>
      </c>
      <c r="J4" s="18" t="inlineStr">
        <is>
          <t>May-27</t>
        </is>
      </c>
      <c r="K4" s="18" t="inlineStr">
        <is>
          <t>Jun-27</t>
        </is>
      </c>
      <c r="L4" s="18" t="inlineStr">
        <is>
          <t>Jul-27</t>
        </is>
      </c>
      <c r="M4" s="18" t="inlineStr">
        <is>
          <t>Aug-27</t>
        </is>
      </c>
      <c r="N4" s="18" t="inlineStr">
        <is>
          <t>Sep-27</t>
        </is>
      </c>
      <c r="O4" s="18" t="inlineStr">
        <is>
          <t>FY1 TOTAL</t>
        </is>
      </c>
    </row>
    <row r="5">
      <c r="A5" s="2" t="inlineStr">
        <is>
          <t>NET REVENUE</t>
        </is>
      </c>
      <c r="C5" s="16">
        <f>-SUM(MONTHLY!C28:C31)</f>
        <v/>
      </c>
      <c r="D5" s="16">
        <f>-SUM(MONTHLY!D28:D31)</f>
        <v/>
      </c>
      <c r="E5" s="16">
        <f>-SUM(MONTHLY!E28:E31)</f>
        <v/>
      </c>
      <c r="F5" s="16">
        <f>-SUM(MONTHLY!F28:F31)</f>
        <v/>
      </c>
      <c r="G5" s="16">
        <f>-SUM(MONTHLY!G28:G31)</f>
        <v/>
      </c>
      <c r="H5" s="16">
        <f>-SUM(MONTHLY!H28:H31)</f>
        <v/>
      </c>
      <c r="I5" s="16">
        <f>-SUM(MONTHLY!I28:I31)</f>
        <v/>
      </c>
      <c r="J5" s="16">
        <f>-SUM(MONTHLY!J28:J31)</f>
        <v/>
      </c>
      <c r="K5" s="16">
        <f>-SUM(MONTHLY!K28:K31)</f>
        <v/>
      </c>
      <c r="L5" s="16">
        <f>-SUM(MONTHLY!L28:L31)</f>
        <v/>
      </c>
      <c r="M5" s="16">
        <f>-SUM(MONTHLY!M28:M31)</f>
        <v/>
      </c>
      <c r="N5" s="16">
        <f>-SUM(MONTHLY!N28:N31)</f>
        <v/>
      </c>
      <c r="O5" s="16">
        <f>SUM(C5:N5)</f>
        <v/>
      </c>
    </row>
    <row r="6">
      <c r="A6" t="inlineStr">
        <is>
          <t>Cost of sales (incl jar cost)</t>
        </is>
      </c>
      <c r="C6" s="15">
        <f>SUM(MONTHLY!C32:C39)</f>
        <v/>
      </c>
      <c r="D6" s="15">
        <f>SUM(MONTHLY!D32:D39)</f>
        <v/>
      </c>
      <c r="E6" s="15">
        <f>SUM(MONTHLY!E32:E39)</f>
        <v/>
      </c>
      <c r="F6" s="15">
        <f>SUM(MONTHLY!F32:F39)</f>
        <v/>
      </c>
      <c r="G6" s="15">
        <f>SUM(MONTHLY!G32:G39)</f>
        <v/>
      </c>
      <c r="H6" s="15">
        <f>SUM(MONTHLY!H32:H39)</f>
        <v/>
      </c>
      <c r="I6" s="15">
        <f>SUM(MONTHLY!I32:I39)</f>
        <v/>
      </c>
      <c r="J6" s="15">
        <f>SUM(MONTHLY!J32:J39)</f>
        <v/>
      </c>
      <c r="K6" s="15">
        <f>SUM(MONTHLY!K32:K39)</f>
        <v/>
      </c>
      <c r="L6" s="15">
        <f>SUM(MONTHLY!L32:L39)</f>
        <v/>
      </c>
      <c r="M6" s="15">
        <f>SUM(MONTHLY!M32:M39)</f>
        <v/>
      </c>
      <c r="N6" s="15">
        <f>SUM(MONTHLY!N32:N39)</f>
        <v/>
      </c>
      <c r="O6" s="16">
        <f>SUM(C6:N6)</f>
        <v/>
      </c>
    </row>
    <row r="7">
      <c r="A7" s="2" t="inlineStr">
        <is>
          <t>GROSS PROFIT</t>
        </is>
      </c>
      <c r="C7" s="16">
        <f>C5-C6</f>
        <v/>
      </c>
      <c r="D7" s="16">
        <f>D5-D6</f>
        <v/>
      </c>
      <c r="E7" s="16">
        <f>E5-E6</f>
        <v/>
      </c>
      <c r="F7" s="16">
        <f>F5-F6</f>
        <v/>
      </c>
      <c r="G7" s="16">
        <f>G5-G6</f>
        <v/>
      </c>
      <c r="H7" s="16">
        <f>H5-H6</f>
        <v/>
      </c>
      <c r="I7" s="16">
        <f>I5-I6</f>
        <v/>
      </c>
      <c r="J7" s="16">
        <f>J5-J6</f>
        <v/>
      </c>
      <c r="K7" s="16">
        <f>K5-K6</f>
        <v/>
      </c>
      <c r="L7" s="16">
        <f>L5-L6</f>
        <v/>
      </c>
      <c r="M7" s="16">
        <f>M5-M6</f>
        <v/>
      </c>
      <c r="N7" s="16">
        <f>N5-N6</f>
        <v/>
      </c>
      <c r="O7" s="16">
        <f>SUM(C7:N7)</f>
        <v/>
      </c>
    </row>
    <row r="8">
      <c r="A8" t="inlineStr">
        <is>
          <t>Operating costs</t>
        </is>
      </c>
      <c r="C8" s="15">
        <f>SUM(MONTHLY!C40:C56)</f>
        <v/>
      </c>
      <c r="D8" s="15">
        <f>SUM(MONTHLY!D40:D56)</f>
        <v/>
      </c>
      <c r="E8" s="15">
        <f>SUM(MONTHLY!E40:E56)</f>
        <v/>
      </c>
      <c r="F8" s="15">
        <f>SUM(MONTHLY!F40:F56)</f>
        <v/>
      </c>
      <c r="G8" s="15">
        <f>SUM(MONTHLY!G40:G56)</f>
        <v/>
      </c>
      <c r="H8" s="15">
        <f>SUM(MONTHLY!H40:H56)</f>
        <v/>
      </c>
      <c r="I8" s="15">
        <f>SUM(MONTHLY!I40:I56)</f>
        <v/>
      </c>
      <c r="J8" s="15">
        <f>SUM(MONTHLY!J40:J56)</f>
        <v/>
      </c>
      <c r="K8" s="15">
        <f>SUM(MONTHLY!K40:K56)</f>
        <v/>
      </c>
      <c r="L8" s="15">
        <f>SUM(MONTHLY!L40:L56)</f>
        <v/>
      </c>
      <c r="M8" s="15">
        <f>SUM(MONTHLY!M40:M56)</f>
        <v/>
      </c>
      <c r="N8" s="15">
        <f>SUM(MONTHLY!N40:N56)</f>
        <v/>
      </c>
      <c r="O8" s="16">
        <f>SUM(C8:N8)</f>
        <v/>
      </c>
    </row>
    <row r="9">
      <c r="A9" s="2" t="inlineStr">
        <is>
          <t>PROFIT BEFORE TAX</t>
        </is>
      </c>
      <c r="C9" s="16">
        <f>C7-C8</f>
        <v/>
      </c>
      <c r="D9" s="16">
        <f>D7-D8</f>
        <v/>
      </c>
      <c r="E9" s="16">
        <f>E7-E8</f>
        <v/>
      </c>
      <c r="F9" s="16">
        <f>F7-F8</f>
        <v/>
      </c>
      <c r="G9" s="16">
        <f>G7-G8</f>
        <v/>
      </c>
      <c r="H9" s="16">
        <f>H7-H8</f>
        <v/>
      </c>
      <c r="I9" s="16">
        <f>I7-I8</f>
        <v/>
      </c>
      <c r="J9" s="16">
        <f>J7-J8</f>
        <v/>
      </c>
      <c r="K9" s="16">
        <f>K7-K8</f>
        <v/>
      </c>
      <c r="L9" s="16">
        <f>L7-L8</f>
        <v/>
      </c>
      <c r="M9" s="16">
        <f>M7-M8</f>
        <v/>
      </c>
      <c r="N9" s="16">
        <f>N7-N8</f>
        <v/>
      </c>
      <c r="O9" s="16">
        <f>SUM(C9:N9)</f>
        <v/>
      </c>
    </row>
    <row r="10">
      <c r="A10" t="inlineStr">
        <is>
          <t>Corporate tax</t>
        </is>
      </c>
      <c r="C10" s="15">
        <f>MONTHLY!C55</f>
        <v/>
      </c>
      <c r="D10" s="15">
        <f>MONTHLY!D55</f>
        <v/>
      </c>
      <c r="E10" s="15">
        <f>MONTHLY!E55</f>
        <v/>
      </c>
      <c r="F10" s="15">
        <f>MONTHLY!F55</f>
        <v/>
      </c>
      <c r="G10" s="15">
        <f>MONTHLY!G55</f>
        <v/>
      </c>
      <c r="H10" s="15">
        <f>MONTHLY!H55</f>
        <v/>
      </c>
      <c r="I10" s="15">
        <f>MONTHLY!I55</f>
        <v/>
      </c>
      <c r="J10" s="15">
        <f>MONTHLY!J55</f>
        <v/>
      </c>
      <c r="K10" s="15">
        <f>MONTHLY!K55</f>
        <v/>
      </c>
      <c r="L10" s="15">
        <f>MONTHLY!L55</f>
        <v/>
      </c>
      <c r="M10" s="15">
        <f>MONTHLY!M55</f>
        <v/>
      </c>
      <c r="N10" s="15">
        <f>MONTHLY!N55</f>
        <v/>
      </c>
      <c r="O10" s="16">
        <f>SUM(C10:N10)</f>
        <v/>
      </c>
    </row>
    <row r="11">
      <c r="A11" s="2" t="inlineStr">
        <is>
          <t>NET PROFIT</t>
        </is>
      </c>
      <c r="C11" s="20">
        <f>C9-C10</f>
        <v/>
      </c>
      <c r="D11" s="20">
        <f>D9-D10</f>
        <v/>
      </c>
      <c r="E11" s="20">
        <f>E9-E10</f>
        <v/>
      </c>
      <c r="F11" s="20">
        <f>F9-F10</f>
        <v/>
      </c>
      <c r="G11" s="20">
        <f>G9-G10</f>
        <v/>
      </c>
      <c r="H11" s="20">
        <f>H9-H10</f>
        <v/>
      </c>
      <c r="I11" s="20">
        <f>I9-I10</f>
        <v/>
      </c>
      <c r="J11" s="20">
        <f>J9-J10</f>
        <v/>
      </c>
      <c r="K11" s="20">
        <f>K9-K10</f>
        <v/>
      </c>
      <c r="L11" s="20">
        <f>L9-L10</f>
        <v/>
      </c>
      <c r="M11" s="20">
        <f>M9-M10</f>
        <v/>
      </c>
      <c r="N11" s="20">
        <f>N9-N10</f>
        <v/>
      </c>
      <c r="O11" s="16">
        <f>SUM(C11:N11)</f>
        <v/>
      </c>
    </row>
    <row r="13">
      <c r="C13" s="18" t="inlineStr">
        <is>
          <t>Oct-26</t>
        </is>
      </c>
      <c r="D13" s="18" t="inlineStr">
        <is>
          <t>Nov-26</t>
        </is>
      </c>
      <c r="E13" s="18" t="inlineStr">
        <is>
          <t>Dec-26</t>
        </is>
      </c>
      <c r="F13" s="18" t="inlineStr">
        <is>
          <t>Jan-27</t>
        </is>
      </c>
      <c r="G13" s="18" t="inlineStr">
        <is>
          <t>Feb-27</t>
        </is>
      </c>
      <c r="H13" s="18" t="inlineStr">
        <is>
          <t>Mar-27</t>
        </is>
      </c>
      <c r="I13" s="18" t="inlineStr">
        <is>
          <t>Apr-27</t>
        </is>
      </c>
      <c r="J13" s="18" t="inlineStr">
        <is>
          <t>May-27</t>
        </is>
      </c>
      <c r="K13" s="18" t="inlineStr">
        <is>
          <t>Jun-27</t>
        </is>
      </c>
      <c r="L13" s="18" t="inlineStr">
        <is>
          <t>Jul-27</t>
        </is>
      </c>
      <c r="M13" s="18" t="inlineStr">
        <is>
          <t>Aug-27</t>
        </is>
      </c>
      <c r="N13" s="18" t="inlineStr">
        <is>
          <t>Sep-27</t>
        </is>
      </c>
      <c r="O13" s="18" t="inlineStr">
        <is>
          <t>FY1 TOTAL</t>
        </is>
      </c>
    </row>
    <row r="14">
      <c r="A14" t="inlineStr">
        <is>
          <t>Gross margin</t>
        </is>
      </c>
      <c r="C14" s="21">
        <f>IF(C5=0,"",C7/C5)</f>
        <v/>
      </c>
      <c r="D14" s="21">
        <f>IF(D5=0,"",D7/D5)</f>
        <v/>
      </c>
      <c r="E14" s="21">
        <f>IF(E5=0,"",E7/E5)</f>
        <v/>
      </c>
      <c r="F14" s="21">
        <f>IF(F5=0,"",F7/F5)</f>
        <v/>
      </c>
      <c r="G14" s="21">
        <f>IF(G5=0,"",G7/G5)</f>
        <v/>
      </c>
      <c r="H14" s="21">
        <f>IF(H5=0,"",H7/H5)</f>
        <v/>
      </c>
      <c r="I14" s="21">
        <f>IF(I5=0,"",I7/I5)</f>
        <v/>
      </c>
      <c r="J14" s="21">
        <f>IF(J5=0,"",J7/J5)</f>
        <v/>
      </c>
      <c r="K14" s="21">
        <f>IF(K5=0,"",K7/K5)</f>
        <v/>
      </c>
      <c r="L14" s="21">
        <f>IF(L5=0,"",L7/L5)</f>
        <v/>
      </c>
      <c r="M14" s="21">
        <f>IF(M5=0,"",M7/M5)</f>
        <v/>
      </c>
      <c r="N14" s="21">
        <f>IF(N5=0,"",N7/N5)</f>
        <v/>
      </c>
      <c r="O14" s="22">
        <f>IF(O5=0,"",O7/O5)</f>
        <v/>
      </c>
    </row>
    <row r="15">
      <c r="A15" t="inlineStr">
        <is>
          <t>Pre-tax margin</t>
        </is>
      </c>
      <c r="C15" s="21">
        <f>IF(C5=0,"",C9/C5)</f>
        <v/>
      </c>
      <c r="D15" s="21">
        <f>IF(D5=0,"",D9/D5)</f>
        <v/>
      </c>
      <c r="E15" s="21">
        <f>IF(E5=0,"",E9/E5)</f>
        <v/>
      </c>
      <c r="F15" s="21">
        <f>IF(F5=0,"",F9/F5)</f>
        <v/>
      </c>
      <c r="G15" s="21">
        <f>IF(G5=0,"",G9/G5)</f>
        <v/>
      </c>
      <c r="H15" s="21">
        <f>IF(H5=0,"",H9/H5)</f>
        <v/>
      </c>
      <c r="I15" s="21">
        <f>IF(I5=0,"",I9/I5)</f>
        <v/>
      </c>
      <c r="J15" s="21">
        <f>IF(J5=0,"",J9/J5)</f>
        <v/>
      </c>
      <c r="K15" s="21">
        <f>IF(K5=0,"",K9/K5)</f>
        <v/>
      </c>
      <c r="L15" s="21">
        <f>IF(L5=0,"",L9/L5)</f>
        <v/>
      </c>
      <c r="M15" s="21">
        <f>IF(M5=0,"",M9/M5)</f>
        <v/>
      </c>
      <c r="N15" s="21">
        <f>IF(N5=0,"",N9/N5)</f>
        <v/>
      </c>
      <c r="O15" s="22">
        <f>IF(O5=0,"",O9/O5)</f>
        <v/>
      </c>
    </row>
    <row r="16">
      <c r="A16" t="inlineStr">
        <is>
          <t>Net margin</t>
        </is>
      </c>
      <c r="C16" s="21">
        <f>IF(C5=0,"",C11/C5)</f>
        <v/>
      </c>
      <c r="D16" s="21">
        <f>IF(D5=0,"",D11/D5)</f>
        <v/>
      </c>
      <c r="E16" s="21">
        <f>IF(E5=0,"",E11/E5)</f>
        <v/>
      </c>
      <c r="F16" s="21">
        <f>IF(F5=0,"",F11/F5)</f>
        <v/>
      </c>
      <c r="G16" s="21">
        <f>IF(G5=0,"",G11/G5)</f>
        <v/>
      </c>
      <c r="H16" s="21">
        <f>IF(H5=0,"",H11/H5)</f>
        <v/>
      </c>
      <c r="I16" s="21">
        <f>IF(I5=0,"",I11/I5)</f>
        <v/>
      </c>
      <c r="J16" s="21">
        <f>IF(J5=0,"",J11/J5)</f>
        <v/>
      </c>
      <c r="K16" s="21">
        <f>IF(K5=0,"",K11/K5)</f>
        <v/>
      </c>
      <c r="L16" s="21">
        <f>IF(L5=0,"",L11/L5)</f>
        <v/>
      </c>
      <c r="M16" s="21">
        <f>IF(M5=0,"",M11/M5)</f>
        <v/>
      </c>
      <c r="N16" s="21">
        <f>IF(N5=0,"",N11/N5)</f>
        <v/>
      </c>
      <c r="O16" s="22">
        <f>IF(O5=0,"",O11/O5)</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40" customWidth="1" min="1" max="1"/>
    <col width="18" customWidth="1" min="2" max="2"/>
    <col width="18" customWidth="1" min="3" max="3"/>
    <col width="18" customWidth="1" min="4" max="4"/>
    <col width="14" customWidth="1" min="5" max="5"/>
    <col width="16" customWidth="1" min="6" max="6"/>
    <col width="56" customWidth="1" min="7" max="7"/>
  </cols>
  <sheetData>
    <row r="1">
      <c r="A1" s="1" t="inlineStr">
        <is>
          <t>TARGET vs ACTUALS — Bucket 1. The accountable CFO.</t>
        </is>
      </c>
    </row>
    <row r="2">
      <c r="A2" s="3" t="inlineStr">
        <is>
          <t>Ask "why" seven times. A gap on its own is not a finding — the reason behind it is.</t>
        </is>
      </c>
    </row>
    <row r="4">
      <c r="A4" s="2" t="inlineStr">
        <is>
          <t>Reporting month (1 = Oct-26)</t>
        </is>
      </c>
      <c r="B4" s="23" t="n">
        <v>1</v>
      </c>
    </row>
    <row r="6">
      <c r="A6" s="11" t="inlineStr">
        <is>
          <t>Line</t>
        </is>
      </c>
      <c r="B6" s="11" t="inlineStr">
        <is>
          <t>Actual</t>
        </is>
      </c>
      <c r="C6" s="11" t="inlineStr">
        <is>
          <t>Target</t>
        </is>
      </c>
      <c r="D6" s="11" t="inlineStr">
        <is>
          <t>Variance</t>
        </is>
      </c>
      <c r="E6" s="11" t="inlineStr">
        <is>
          <t>Var %</t>
        </is>
      </c>
      <c r="F6" s="11" t="inlineStr">
        <is>
          <t>Investigate?</t>
        </is>
      </c>
      <c r="G6" s="11" t="inlineStr">
        <is>
          <t>WHY — the seventh answer</t>
        </is>
      </c>
    </row>
    <row r="7">
      <c r="A7" t="inlineStr">
        <is>
          <t>Net revenue</t>
        </is>
      </c>
      <c r="B7" s="15">
        <f>INDEX('P&amp;L'!$C$5:$N$5,$B$4)</f>
        <v/>
      </c>
      <c r="C7" s="15">
        <f>INDEX(BUDGET!$C$5:$N$5,$B$4)</f>
        <v/>
      </c>
      <c r="D7" s="15">
        <f>B7-C7</f>
        <v/>
      </c>
      <c r="E7" s="21">
        <f>IF(C7=0,"",D7/C7)</f>
        <v/>
      </c>
      <c r="F7" s="17">
        <f>IF(AND(ABS(D7)&gt;SETUP!$B$41*0+SETUP!$B$43,ABS(IFERROR(D7/C7,0))&gt;SETUP!$B$42),"INVESTIGATE","ok")</f>
        <v/>
      </c>
      <c r="G7" s="6" t="inlineStr"/>
    </row>
    <row r="8">
      <c r="A8" t="inlineStr">
        <is>
          <t>Cost of sales</t>
        </is>
      </c>
      <c r="B8" s="15">
        <f>INDEX('P&amp;L'!$C$6:$N$6,$B$4)</f>
        <v/>
      </c>
      <c r="C8" s="15">
        <f>INDEX(BUDGET!$C$6:$N$6,$B$4)</f>
        <v/>
      </c>
      <c r="D8" s="15">
        <f>B8-C8</f>
        <v/>
      </c>
      <c r="E8" s="21">
        <f>IF(C8=0,"",D8/C8)</f>
        <v/>
      </c>
      <c r="F8" s="17">
        <f>IF(AND(ABS(D8)&gt;SETUP!$B$41*0+SETUP!$B$43,ABS(IFERROR(D8/C8,0))&gt;SETUP!$B$42),"INVESTIGATE","ok")</f>
        <v/>
      </c>
      <c r="G8" s="6" t="inlineStr"/>
    </row>
    <row r="9">
      <c r="A9" t="inlineStr">
        <is>
          <t>Gross profit</t>
        </is>
      </c>
      <c r="B9" s="15">
        <f>INDEX('P&amp;L'!$C$7:$N$7,$B$4)</f>
        <v/>
      </c>
      <c r="C9" s="15">
        <f>INDEX(BUDGET!$C$8:$N$8,$B$4)</f>
        <v/>
      </c>
      <c r="D9" s="15">
        <f>B9-C9</f>
        <v/>
      </c>
      <c r="E9" s="21">
        <f>IF(C9=0,"",D9/C9)</f>
        <v/>
      </c>
      <c r="F9" s="17">
        <f>IF(AND(ABS(D9)&gt;SETUP!$B$41*0+SETUP!$B$43,ABS(IFERROR(D9/C9,0))&gt;SETUP!$B$42),"INVESTIGATE","ok")</f>
        <v/>
      </c>
      <c r="G9" s="6" t="inlineStr"/>
    </row>
    <row r="10">
      <c r="A10" t="inlineStr">
        <is>
          <t>Operating costs</t>
        </is>
      </c>
      <c r="B10" s="15">
        <f>INDEX('P&amp;L'!$C$8:$N$8,$B$4)</f>
        <v/>
      </c>
      <c r="C10" s="15">
        <f>INDEX(BUDGET!$C$9:$N$9,$B$4)</f>
        <v/>
      </c>
      <c r="D10" s="15">
        <f>B10-C10</f>
        <v/>
      </c>
      <c r="E10" s="21">
        <f>IF(C10=0,"",D10/C10)</f>
        <v/>
      </c>
      <c r="F10" s="17">
        <f>IF(AND(ABS(D10)&gt;SETUP!$B$41*0+SETUP!$B$43,ABS(IFERROR(D10/C10,0))&gt;SETUP!$B$42),"INVESTIGATE","ok")</f>
        <v/>
      </c>
      <c r="G10" s="6" t="inlineStr"/>
    </row>
    <row r="11">
      <c r="A11" t="inlineStr">
        <is>
          <t>Profit before tax</t>
        </is>
      </c>
      <c r="B11" s="15">
        <f>INDEX('P&amp;L'!$C$9:$N$9,$B$4)</f>
        <v/>
      </c>
      <c r="C11" s="15">
        <f>INDEX(BUDGET!$C$13:$N$13,$B$4)</f>
        <v/>
      </c>
      <c r="D11" s="15">
        <f>B11-C11</f>
        <v/>
      </c>
      <c r="E11" s="21">
        <f>IF(C11=0,"",D11/C11)</f>
        <v/>
      </c>
      <c r="F11" s="17">
        <f>IF(AND(ABS(D11)&gt;SETUP!$B$41*0+SETUP!$B$43,ABS(IFERROR(D11/C11,0))&gt;SETUP!$B$42),"INVESTIGATE","ok")</f>
        <v/>
      </c>
      <c r="G11" s="6" t="inlineStr"/>
    </row>
    <row r="13">
      <c r="A13" s="3" t="inlineStr">
        <is>
          <t>Threshold is set in SETUP: investigate anything more than 5% AND more than 2,000,000 UGX off target.</t>
        </is>
      </c>
    </row>
    <row r="14">
      <c r="A14" s="3" t="inlineStr">
        <is>
          <t>Renew gives no materiality rule. This one is ours, and it is better than no rule.</t>
        </is>
      </c>
    </row>
    <row r="15">
      <c r="A15" s="3" t="inlineStr">
        <is>
          <t>The WHY column is not optional. A variance with a blank WHY is an unfinished month.</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30"/>
  <sheetViews>
    <sheetView workbookViewId="0">
      <pane xSplit="2" topLeftCell="C1" activePane="topRight" state="frozen"/>
      <selection pane="topRight" activeCell="A1" sqref="A1"/>
    </sheetView>
  </sheetViews>
  <sheetFormatPr baseColWidth="8" defaultRowHeight="15"/>
  <cols>
    <col width="44" customWidth="1" min="1" max="1"/>
    <col width="2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c r="A1" s="1" t="inlineStr">
        <is>
          <t>STATEMENT OF FINANCIAL POSITION</t>
        </is>
      </c>
    </row>
    <row r="2">
      <c r="A2" s="3" t="inlineStr">
        <is>
          <t>Cumulative from JOURNAL. The CHECK row must read zero.</t>
        </is>
      </c>
    </row>
    <row r="4">
      <c r="C4" s="18" t="inlineStr">
        <is>
          <t>Oct-26</t>
        </is>
      </c>
      <c r="D4" s="18" t="inlineStr">
        <is>
          <t>Nov-26</t>
        </is>
      </c>
      <c r="E4" s="18" t="inlineStr">
        <is>
          <t>Dec-26</t>
        </is>
      </c>
      <c r="F4" s="18" t="inlineStr">
        <is>
          <t>Jan-27</t>
        </is>
      </c>
      <c r="G4" s="18" t="inlineStr">
        <is>
          <t>Feb-27</t>
        </is>
      </c>
      <c r="H4" s="18" t="inlineStr">
        <is>
          <t>Mar-27</t>
        </is>
      </c>
      <c r="I4" s="18" t="inlineStr">
        <is>
          <t>Apr-27</t>
        </is>
      </c>
      <c r="J4" s="18" t="inlineStr">
        <is>
          <t>May-27</t>
        </is>
      </c>
      <c r="K4" s="18" t="inlineStr">
        <is>
          <t>Jun-27</t>
        </is>
      </c>
      <c r="L4" s="18" t="inlineStr">
        <is>
          <t>Jul-27</t>
        </is>
      </c>
      <c r="M4" s="18" t="inlineStr">
        <is>
          <t>Aug-27</t>
        </is>
      </c>
      <c r="N4" s="18" t="inlineStr">
        <is>
          <t>Sep-27</t>
        </is>
      </c>
    </row>
    <row r="5">
      <c r="A5" s="2" t="inlineStr">
        <is>
          <t>ASSETS</t>
        </is>
      </c>
    </row>
    <row r="6">
      <c r="A6" t="inlineStr">
        <is>
          <t>Cash (bank + mobile + petty)</t>
        </is>
      </c>
      <c r="C6" s="15">
        <f>(SUM(MONTHLY!$C$5:C5)+SUM(MONTHLY!$C$6:C6)+SUM(MONTHLY!$C$7:C7))</f>
        <v/>
      </c>
      <c r="D6" s="15">
        <f>(SUM(MONTHLY!$C$5:D5)+SUM(MONTHLY!$C$6:D6)+SUM(MONTHLY!$C$7:D7))</f>
        <v/>
      </c>
      <c r="E6" s="15">
        <f>(SUM(MONTHLY!$C$5:E5)+SUM(MONTHLY!$C$6:E6)+SUM(MONTHLY!$C$7:E7))</f>
        <v/>
      </c>
      <c r="F6" s="15">
        <f>(SUM(MONTHLY!$C$5:F5)+SUM(MONTHLY!$C$6:F6)+SUM(MONTHLY!$C$7:F7))</f>
        <v/>
      </c>
      <c r="G6" s="15">
        <f>(SUM(MONTHLY!$C$5:G5)+SUM(MONTHLY!$C$6:G6)+SUM(MONTHLY!$C$7:G7))</f>
        <v/>
      </c>
      <c r="H6" s="15">
        <f>(SUM(MONTHLY!$C$5:H5)+SUM(MONTHLY!$C$6:H6)+SUM(MONTHLY!$C$7:H7))</f>
        <v/>
      </c>
      <c r="I6" s="15">
        <f>(SUM(MONTHLY!$C$5:I5)+SUM(MONTHLY!$C$6:I6)+SUM(MONTHLY!$C$7:I7))</f>
        <v/>
      </c>
      <c r="J6" s="15">
        <f>(SUM(MONTHLY!$C$5:J5)+SUM(MONTHLY!$C$6:J6)+SUM(MONTHLY!$C$7:J7))</f>
        <v/>
      </c>
      <c r="K6" s="15">
        <f>(SUM(MONTHLY!$C$5:K5)+SUM(MONTHLY!$C$6:K6)+SUM(MONTHLY!$C$7:K7))</f>
        <v/>
      </c>
      <c r="L6" s="15">
        <f>(SUM(MONTHLY!$C$5:L5)+SUM(MONTHLY!$C$6:L6)+SUM(MONTHLY!$C$7:L7))</f>
        <v/>
      </c>
      <c r="M6" s="15">
        <f>(SUM(MONTHLY!$C$5:M5)+SUM(MONTHLY!$C$6:M6)+SUM(MONTHLY!$C$7:M7))</f>
        <v/>
      </c>
      <c r="N6" s="15">
        <f>(SUM(MONTHLY!$C$5:N5)+SUM(MONTHLY!$C$6:N6)+SUM(MONTHLY!$C$7:N7))</f>
        <v/>
      </c>
    </row>
    <row r="7">
      <c r="A7" t="inlineStr">
        <is>
          <t>Trade receivables</t>
        </is>
      </c>
      <c r="C7" s="15">
        <f>(SUM(MONTHLY!$C$8:C8))</f>
        <v/>
      </c>
      <c r="D7" s="15">
        <f>(SUM(MONTHLY!$C$8:D8))</f>
        <v/>
      </c>
      <c r="E7" s="15">
        <f>(SUM(MONTHLY!$C$8:E8))</f>
        <v/>
      </c>
      <c r="F7" s="15">
        <f>(SUM(MONTHLY!$C$8:F8))</f>
        <v/>
      </c>
      <c r="G7" s="15">
        <f>(SUM(MONTHLY!$C$8:G8))</f>
        <v/>
      </c>
      <c r="H7" s="15">
        <f>(SUM(MONTHLY!$C$8:H8))</f>
        <v/>
      </c>
      <c r="I7" s="15">
        <f>(SUM(MONTHLY!$C$8:I8))</f>
        <v/>
      </c>
      <c r="J7" s="15">
        <f>(SUM(MONTHLY!$C$8:J8))</f>
        <v/>
      </c>
      <c r="K7" s="15">
        <f>(SUM(MONTHLY!$C$8:K8))</f>
        <v/>
      </c>
      <c r="L7" s="15">
        <f>(SUM(MONTHLY!$C$8:L8))</f>
        <v/>
      </c>
      <c r="M7" s="15">
        <f>(SUM(MONTHLY!$C$8:M8))</f>
        <v/>
      </c>
      <c r="N7" s="15">
        <f>(SUM(MONTHLY!$C$8:N8))</f>
        <v/>
      </c>
    </row>
    <row r="8">
      <c r="A8" t="inlineStr">
        <is>
          <t>Inventory</t>
        </is>
      </c>
      <c r="C8" s="15">
        <f>(SUM(MONTHLY!$C$9:C9)+SUM(MONTHLY!$C$10:C10)+SUM(MONTHLY!$C$11:C11)+SUM(MONTHLY!$C$12:C12))</f>
        <v/>
      </c>
      <c r="D8" s="15">
        <f>(SUM(MONTHLY!$C$9:D9)+SUM(MONTHLY!$C$10:D10)+SUM(MONTHLY!$C$11:D11)+SUM(MONTHLY!$C$12:D12))</f>
        <v/>
      </c>
      <c r="E8" s="15">
        <f>(SUM(MONTHLY!$C$9:E9)+SUM(MONTHLY!$C$10:E10)+SUM(MONTHLY!$C$11:E11)+SUM(MONTHLY!$C$12:E12))</f>
        <v/>
      </c>
      <c r="F8" s="15">
        <f>(SUM(MONTHLY!$C$9:F9)+SUM(MONTHLY!$C$10:F10)+SUM(MONTHLY!$C$11:F11)+SUM(MONTHLY!$C$12:F12))</f>
        <v/>
      </c>
      <c r="G8" s="15">
        <f>(SUM(MONTHLY!$C$9:G9)+SUM(MONTHLY!$C$10:G10)+SUM(MONTHLY!$C$11:G11)+SUM(MONTHLY!$C$12:G12))</f>
        <v/>
      </c>
      <c r="H8" s="15">
        <f>(SUM(MONTHLY!$C$9:H9)+SUM(MONTHLY!$C$10:H10)+SUM(MONTHLY!$C$11:H11)+SUM(MONTHLY!$C$12:H12))</f>
        <v/>
      </c>
      <c r="I8" s="15">
        <f>(SUM(MONTHLY!$C$9:I9)+SUM(MONTHLY!$C$10:I10)+SUM(MONTHLY!$C$11:I11)+SUM(MONTHLY!$C$12:I12))</f>
        <v/>
      </c>
      <c r="J8" s="15">
        <f>(SUM(MONTHLY!$C$9:J9)+SUM(MONTHLY!$C$10:J10)+SUM(MONTHLY!$C$11:J11)+SUM(MONTHLY!$C$12:J12))</f>
        <v/>
      </c>
      <c r="K8" s="15">
        <f>(SUM(MONTHLY!$C$9:K9)+SUM(MONTHLY!$C$10:K10)+SUM(MONTHLY!$C$11:K11)+SUM(MONTHLY!$C$12:K12))</f>
        <v/>
      </c>
      <c r="L8" s="15">
        <f>(SUM(MONTHLY!$C$9:L9)+SUM(MONTHLY!$C$10:L10)+SUM(MONTHLY!$C$11:L11)+SUM(MONTHLY!$C$12:L12))</f>
        <v/>
      </c>
      <c r="M8" s="15">
        <f>(SUM(MONTHLY!$C$9:M9)+SUM(MONTHLY!$C$10:M10)+SUM(MONTHLY!$C$11:M11)+SUM(MONTHLY!$C$12:M12))</f>
        <v/>
      </c>
      <c r="N8" s="15">
        <f>(SUM(MONTHLY!$C$9:N9)+SUM(MONTHLY!$C$10:N10)+SUM(MONTHLY!$C$11:N11)+SUM(MONTHLY!$C$12:N12))</f>
        <v/>
      </c>
    </row>
    <row r="9">
      <c r="A9" t="inlineStr">
        <is>
          <t>Input VAT recoverable</t>
        </is>
      </c>
      <c r="C9" s="15">
        <f>(SUM(MONTHLY!$C$13:C13))</f>
        <v/>
      </c>
      <c r="D9" s="15">
        <f>(SUM(MONTHLY!$C$13:D13))</f>
        <v/>
      </c>
      <c r="E9" s="15">
        <f>(SUM(MONTHLY!$C$13:E13))</f>
        <v/>
      </c>
      <c r="F9" s="15">
        <f>(SUM(MONTHLY!$C$13:F13))</f>
        <v/>
      </c>
      <c r="G9" s="15">
        <f>(SUM(MONTHLY!$C$13:G13))</f>
        <v/>
      </c>
      <c r="H9" s="15">
        <f>(SUM(MONTHLY!$C$13:H13))</f>
        <v/>
      </c>
      <c r="I9" s="15">
        <f>(SUM(MONTHLY!$C$13:I13))</f>
        <v/>
      </c>
      <c r="J9" s="15">
        <f>(SUM(MONTHLY!$C$13:J13))</f>
        <v/>
      </c>
      <c r="K9" s="15">
        <f>(SUM(MONTHLY!$C$13:K13))</f>
        <v/>
      </c>
      <c r="L9" s="15">
        <f>(SUM(MONTHLY!$C$13:L13))</f>
        <v/>
      </c>
      <c r="M9" s="15">
        <f>(SUM(MONTHLY!$C$13:M13))</f>
        <v/>
      </c>
      <c r="N9" s="15">
        <f>(SUM(MONTHLY!$C$13:N13))</f>
        <v/>
      </c>
    </row>
    <row r="10">
      <c r="A10" t="inlineStr">
        <is>
          <t>Plant and equipment (net)</t>
        </is>
      </c>
      <c r="C10" s="15">
        <f>(SUM(MONTHLY!$C$14:C14)+SUM(MONTHLY!$C$15:C15))</f>
        <v/>
      </c>
      <c r="D10" s="15">
        <f>(SUM(MONTHLY!$C$14:D14)+SUM(MONTHLY!$C$15:D15))</f>
        <v/>
      </c>
      <c r="E10" s="15">
        <f>(SUM(MONTHLY!$C$14:E14)+SUM(MONTHLY!$C$15:E15))</f>
        <v/>
      </c>
      <c r="F10" s="15">
        <f>(SUM(MONTHLY!$C$14:F14)+SUM(MONTHLY!$C$15:F15))</f>
        <v/>
      </c>
      <c r="G10" s="15">
        <f>(SUM(MONTHLY!$C$14:G14)+SUM(MONTHLY!$C$15:G15))</f>
        <v/>
      </c>
      <c r="H10" s="15">
        <f>(SUM(MONTHLY!$C$14:H14)+SUM(MONTHLY!$C$15:H15))</f>
        <v/>
      </c>
      <c r="I10" s="15">
        <f>(SUM(MONTHLY!$C$14:I14)+SUM(MONTHLY!$C$15:I15))</f>
        <v/>
      </c>
      <c r="J10" s="15">
        <f>(SUM(MONTHLY!$C$14:J14)+SUM(MONTHLY!$C$15:J15))</f>
        <v/>
      </c>
      <c r="K10" s="15">
        <f>(SUM(MONTHLY!$C$14:K14)+SUM(MONTHLY!$C$15:K15))</f>
        <v/>
      </c>
      <c r="L10" s="15">
        <f>(SUM(MONTHLY!$C$14:L14)+SUM(MONTHLY!$C$15:L15))</f>
        <v/>
      </c>
      <c r="M10" s="15">
        <f>(SUM(MONTHLY!$C$14:M14)+SUM(MONTHLY!$C$15:M15))</f>
        <v/>
      </c>
      <c r="N10" s="15">
        <f>(SUM(MONTHLY!$C$14:N14)+SUM(MONTHLY!$C$15:N15))</f>
        <v/>
      </c>
    </row>
    <row r="11">
      <c r="A11" s="2" t="inlineStr">
        <is>
          <t>TOTAL ASSETS</t>
        </is>
      </c>
      <c r="C11" s="16">
        <f>(SUM(MONTHLY!$C$5:C5)+SUM(MONTHLY!$C$6:C6)+SUM(MONTHLY!$C$7:C7)+SUM(MONTHLY!$C$8:C8)+SUM(MONTHLY!$C$9:C9)+SUM(MONTHLY!$C$10:C10)+SUM(MONTHLY!$C$11:C11)+SUM(MONTHLY!$C$12:C12)+SUM(MONTHLY!$C$13:C13)+SUM(MONTHLY!$C$14:C14)+SUM(MONTHLY!$C$15:C15))</f>
        <v/>
      </c>
      <c r="D11" s="16">
        <f>(SUM(MONTHLY!$C$5:D5)+SUM(MONTHLY!$C$6:D6)+SUM(MONTHLY!$C$7:D7)+SUM(MONTHLY!$C$8:D8)+SUM(MONTHLY!$C$9:D9)+SUM(MONTHLY!$C$10:D10)+SUM(MONTHLY!$C$11:D11)+SUM(MONTHLY!$C$12:D12)+SUM(MONTHLY!$C$13:D13)+SUM(MONTHLY!$C$14:D14)+SUM(MONTHLY!$C$15:D15))</f>
        <v/>
      </c>
      <c r="E11" s="16">
        <f>(SUM(MONTHLY!$C$5:E5)+SUM(MONTHLY!$C$6:E6)+SUM(MONTHLY!$C$7:E7)+SUM(MONTHLY!$C$8:E8)+SUM(MONTHLY!$C$9:E9)+SUM(MONTHLY!$C$10:E10)+SUM(MONTHLY!$C$11:E11)+SUM(MONTHLY!$C$12:E12)+SUM(MONTHLY!$C$13:E13)+SUM(MONTHLY!$C$14:E14)+SUM(MONTHLY!$C$15:E15))</f>
        <v/>
      </c>
      <c r="F11" s="16">
        <f>(SUM(MONTHLY!$C$5:F5)+SUM(MONTHLY!$C$6:F6)+SUM(MONTHLY!$C$7:F7)+SUM(MONTHLY!$C$8:F8)+SUM(MONTHLY!$C$9:F9)+SUM(MONTHLY!$C$10:F10)+SUM(MONTHLY!$C$11:F11)+SUM(MONTHLY!$C$12:F12)+SUM(MONTHLY!$C$13:F13)+SUM(MONTHLY!$C$14:F14)+SUM(MONTHLY!$C$15:F15))</f>
        <v/>
      </c>
      <c r="G11" s="16">
        <f>(SUM(MONTHLY!$C$5:G5)+SUM(MONTHLY!$C$6:G6)+SUM(MONTHLY!$C$7:G7)+SUM(MONTHLY!$C$8:G8)+SUM(MONTHLY!$C$9:G9)+SUM(MONTHLY!$C$10:G10)+SUM(MONTHLY!$C$11:G11)+SUM(MONTHLY!$C$12:G12)+SUM(MONTHLY!$C$13:G13)+SUM(MONTHLY!$C$14:G14)+SUM(MONTHLY!$C$15:G15))</f>
        <v/>
      </c>
      <c r="H11" s="16">
        <f>(SUM(MONTHLY!$C$5:H5)+SUM(MONTHLY!$C$6:H6)+SUM(MONTHLY!$C$7:H7)+SUM(MONTHLY!$C$8:H8)+SUM(MONTHLY!$C$9:H9)+SUM(MONTHLY!$C$10:H10)+SUM(MONTHLY!$C$11:H11)+SUM(MONTHLY!$C$12:H12)+SUM(MONTHLY!$C$13:H13)+SUM(MONTHLY!$C$14:H14)+SUM(MONTHLY!$C$15:H15))</f>
        <v/>
      </c>
      <c r="I11" s="16">
        <f>(SUM(MONTHLY!$C$5:I5)+SUM(MONTHLY!$C$6:I6)+SUM(MONTHLY!$C$7:I7)+SUM(MONTHLY!$C$8:I8)+SUM(MONTHLY!$C$9:I9)+SUM(MONTHLY!$C$10:I10)+SUM(MONTHLY!$C$11:I11)+SUM(MONTHLY!$C$12:I12)+SUM(MONTHLY!$C$13:I13)+SUM(MONTHLY!$C$14:I14)+SUM(MONTHLY!$C$15:I15))</f>
        <v/>
      </c>
      <c r="J11" s="16">
        <f>(SUM(MONTHLY!$C$5:J5)+SUM(MONTHLY!$C$6:J6)+SUM(MONTHLY!$C$7:J7)+SUM(MONTHLY!$C$8:J8)+SUM(MONTHLY!$C$9:J9)+SUM(MONTHLY!$C$10:J10)+SUM(MONTHLY!$C$11:J11)+SUM(MONTHLY!$C$12:J12)+SUM(MONTHLY!$C$13:J13)+SUM(MONTHLY!$C$14:J14)+SUM(MONTHLY!$C$15:J15))</f>
        <v/>
      </c>
      <c r="K11" s="16">
        <f>(SUM(MONTHLY!$C$5:K5)+SUM(MONTHLY!$C$6:K6)+SUM(MONTHLY!$C$7:K7)+SUM(MONTHLY!$C$8:K8)+SUM(MONTHLY!$C$9:K9)+SUM(MONTHLY!$C$10:K10)+SUM(MONTHLY!$C$11:K11)+SUM(MONTHLY!$C$12:K12)+SUM(MONTHLY!$C$13:K13)+SUM(MONTHLY!$C$14:K14)+SUM(MONTHLY!$C$15:K15))</f>
        <v/>
      </c>
      <c r="L11" s="16">
        <f>(SUM(MONTHLY!$C$5:L5)+SUM(MONTHLY!$C$6:L6)+SUM(MONTHLY!$C$7:L7)+SUM(MONTHLY!$C$8:L8)+SUM(MONTHLY!$C$9:L9)+SUM(MONTHLY!$C$10:L10)+SUM(MONTHLY!$C$11:L11)+SUM(MONTHLY!$C$12:L12)+SUM(MONTHLY!$C$13:L13)+SUM(MONTHLY!$C$14:L14)+SUM(MONTHLY!$C$15:L15))</f>
        <v/>
      </c>
      <c r="M11" s="16">
        <f>(SUM(MONTHLY!$C$5:M5)+SUM(MONTHLY!$C$6:M6)+SUM(MONTHLY!$C$7:M7)+SUM(MONTHLY!$C$8:M8)+SUM(MONTHLY!$C$9:M9)+SUM(MONTHLY!$C$10:M10)+SUM(MONTHLY!$C$11:M11)+SUM(MONTHLY!$C$12:M12)+SUM(MONTHLY!$C$13:M13)+SUM(MONTHLY!$C$14:M14)+SUM(MONTHLY!$C$15:M15))</f>
        <v/>
      </c>
      <c r="N11" s="16">
        <f>(SUM(MONTHLY!$C$5:N5)+SUM(MONTHLY!$C$6:N6)+SUM(MONTHLY!$C$7:N7)+SUM(MONTHLY!$C$8:N8)+SUM(MONTHLY!$C$9:N9)+SUM(MONTHLY!$C$10:N10)+SUM(MONTHLY!$C$11:N11)+SUM(MONTHLY!$C$12:N12)+SUM(MONTHLY!$C$13:N13)+SUM(MONTHLY!$C$14:N14)+SUM(MONTHLY!$C$15:N15))</f>
        <v/>
      </c>
    </row>
    <row r="13">
      <c r="A13" s="2" t="inlineStr">
        <is>
          <t>LIABILITIES</t>
        </is>
      </c>
    </row>
    <row r="14">
      <c r="A14" t="inlineStr">
        <is>
          <t>Trade payables</t>
        </is>
      </c>
      <c r="C14" s="15">
        <f>-(SUM(MONTHLY!$C$16:C16))</f>
        <v/>
      </c>
      <c r="D14" s="15">
        <f>-(SUM(MONTHLY!$C$16:D16))</f>
        <v/>
      </c>
      <c r="E14" s="15">
        <f>-(SUM(MONTHLY!$C$16:E16))</f>
        <v/>
      </c>
      <c r="F14" s="15">
        <f>-(SUM(MONTHLY!$C$16:F16))</f>
        <v/>
      </c>
      <c r="G14" s="15">
        <f>-(SUM(MONTHLY!$C$16:G16))</f>
        <v/>
      </c>
      <c r="H14" s="15">
        <f>-(SUM(MONTHLY!$C$16:H16))</f>
        <v/>
      </c>
      <c r="I14" s="15">
        <f>-(SUM(MONTHLY!$C$16:I16))</f>
        <v/>
      </c>
      <c r="J14" s="15">
        <f>-(SUM(MONTHLY!$C$16:J16))</f>
        <v/>
      </c>
      <c r="K14" s="15">
        <f>-(SUM(MONTHLY!$C$16:K16))</f>
        <v/>
      </c>
      <c r="L14" s="15">
        <f>-(SUM(MONTHLY!$C$16:L16))</f>
        <v/>
      </c>
      <c r="M14" s="15">
        <f>-(SUM(MONTHLY!$C$16:M16))</f>
        <v/>
      </c>
      <c r="N14" s="15">
        <f>-(SUM(MONTHLY!$C$16:N16))</f>
        <v/>
      </c>
    </row>
    <row r="15">
      <c r="A15" s="2" t="inlineStr">
        <is>
          <t>CUSTOMER DEPOSITS — refundable</t>
        </is>
      </c>
      <c r="C15" s="19">
        <f>-(SUM(MONTHLY!$C$17:C17))</f>
        <v/>
      </c>
      <c r="D15" s="19">
        <f>-(SUM(MONTHLY!$C$17:D17))</f>
        <v/>
      </c>
      <c r="E15" s="19">
        <f>-(SUM(MONTHLY!$C$17:E17))</f>
        <v/>
      </c>
      <c r="F15" s="19">
        <f>-(SUM(MONTHLY!$C$17:F17))</f>
        <v/>
      </c>
      <c r="G15" s="19">
        <f>-(SUM(MONTHLY!$C$17:G17))</f>
        <v/>
      </c>
      <c r="H15" s="19">
        <f>-(SUM(MONTHLY!$C$17:H17))</f>
        <v/>
      </c>
      <c r="I15" s="19">
        <f>-(SUM(MONTHLY!$C$17:I17))</f>
        <v/>
      </c>
      <c r="J15" s="19">
        <f>-(SUM(MONTHLY!$C$17:J17))</f>
        <v/>
      </c>
      <c r="K15" s="19">
        <f>-(SUM(MONTHLY!$C$17:K17))</f>
        <v/>
      </c>
      <c r="L15" s="19">
        <f>-(SUM(MONTHLY!$C$17:L17))</f>
        <v/>
      </c>
      <c r="M15" s="19">
        <f>-(SUM(MONTHLY!$C$17:M17))</f>
        <v/>
      </c>
      <c r="N15" s="19">
        <f>-(SUM(MONTHLY!$C$17:N17))</f>
        <v/>
      </c>
    </row>
    <row r="16">
      <c r="A16" t="inlineStr">
        <is>
          <t>URA — VAT, excise, stamps</t>
        </is>
      </c>
      <c r="C16" s="15">
        <f>-(SUM(MONTHLY!$C$18:C18)+SUM(MONTHLY!$C$19:C19)+SUM(MONTHLY!$C$20:C20))</f>
        <v/>
      </c>
      <c r="D16" s="15">
        <f>-(SUM(MONTHLY!$C$18:D18)+SUM(MONTHLY!$C$19:D19)+SUM(MONTHLY!$C$20:D20))</f>
        <v/>
      </c>
      <c r="E16" s="15">
        <f>-(SUM(MONTHLY!$C$18:E18)+SUM(MONTHLY!$C$19:E19)+SUM(MONTHLY!$C$20:E20))</f>
        <v/>
      </c>
      <c r="F16" s="15">
        <f>-(SUM(MONTHLY!$C$18:F18)+SUM(MONTHLY!$C$19:F19)+SUM(MONTHLY!$C$20:F20))</f>
        <v/>
      </c>
      <c r="G16" s="15">
        <f>-(SUM(MONTHLY!$C$18:G18)+SUM(MONTHLY!$C$19:G19)+SUM(MONTHLY!$C$20:G20))</f>
        <v/>
      </c>
      <c r="H16" s="15">
        <f>-(SUM(MONTHLY!$C$18:H18)+SUM(MONTHLY!$C$19:H19)+SUM(MONTHLY!$C$20:H20))</f>
        <v/>
      </c>
      <c r="I16" s="15">
        <f>-(SUM(MONTHLY!$C$18:I18)+SUM(MONTHLY!$C$19:I19)+SUM(MONTHLY!$C$20:I20))</f>
        <v/>
      </c>
      <c r="J16" s="15">
        <f>-(SUM(MONTHLY!$C$18:J18)+SUM(MONTHLY!$C$19:J19)+SUM(MONTHLY!$C$20:J20))</f>
        <v/>
      </c>
      <c r="K16" s="15">
        <f>-(SUM(MONTHLY!$C$18:K18)+SUM(MONTHLY!$C$19:K19)+SUM(MONTHLY!$C$20:K20))</f>
        <v/>
      </c>
      <c r="L16" s="15">
        <f>-(SUM(MONTHLY!$C$18:L18)+SUM(MONTHLY!$C$19:L19)+SUM(MONTHLY!$C$20:L20))</f>
        <v/>
      </c>
      <c r="M16" s="15">
        <f>-(SUM(MONTHLY!$C$18:M18)+SUM(MONTHLY!$C$19:M19)+SUM(MONTHLY!$C$20:M20))</f>
        <v/>
      </c>
      <c r="N16" s="15">
        <f>-(SUM(MONTHLY!$C$18:N18)+SUM(MONTHLY!$C$19:N19)+SUM(MONTHLY!$C$20:N20))</f>
        <v/>
      </c>
    </row>
    <row r="17">
      <c r="A17" t="inlineStr">
        <is>
          <t>Payroll statutory (PAYE, NSSF, LST)</t>
        </is>
      </c>
      <c r="C17" s="15">
        <f>-(SUM(MONTHLY!$C$21:C21)+SUM(MONTHLY!$C$22:C22)+SUM(MONTHLY!$C$23:C23))</f>
        <v/>
      </c>
      <c r="D17" s="15">
        <f>-(SUM(MONTHLY!$C$21:D21)+SUM(MONTHLY!$C$22:D22)+SUM(MONTHLY!$C$23:D23))</f>
        <v/>
      </c>
      <c r="E17" s="15">
        <f>-(SUM(MONTHLY!$C$21:E21)+SUM(MONTHLY!$C$22:E22)+SUM(MONTHLY!$C$23:E23))</f>
        <v/>
      </c>
      <c r="F17" s="15">
        <f>-(SUM(MONTHLY!$C$21:F21)+SUM(MONTHLY!$C$22:F22)+SUM(MONTHLY!$C$23:F23))</f>
        <v/>
      </c>
      <c r="G17" s="15">
        <f>-(SUM(MONTHLY!$C$21:G21)+SUM(MONTHLY!$C$22:G22)+SUM(MONTHLY!$C$23:G23))</f>
        <v/>
      </c>
      <c r="H17" s="15">
        <f>-(SUM(MONTHLY!$C$21:H21)+SUM(MONTHLY!$C$22:H22)+SUM(MONTHLY!$C$23:H23))</f>
        <v/>
      </c>
      <c r="I17" s="15">
        <f>-(SUM(MONTHLY!$C$21:I21)+SUM(MONTHLY!$C$22:I22)+SUM(MONTHLY!$C$23:I23))</f>
        <v/>
      </c>
      <c r="J17" s="15">
        <f>-(SUM(MONTHLY!$C$21:J21)+SUM(MONTHLY!$C$22:J22)+SUM(MONTHLY!$C$23:J23))</f>
        <v/>
      </c>
      <c r="K17" s="15">
        <f>-(SUM(MONTHLY!$C$21:K21)+SUM(MONTHLY!$C$22:K22)+SUM(MONTHLY!$C$23:K23))</f>
        <v/>
      </c>
      <c r="L17" s="15">
        <f>-(SUM(MONTHLY!$C$21:L21)+SUM(MONTHLY!$C$22:L22)+SUM(MONTHLY!$C$23:L23))</f>
        <v/>
      </c>
      <c r="M17" s="15">
        <f>-(SUM(MONTHLY!$C$21:M21)+SUM(MONTHLY!$C$22:M22)+SUM(MONTHLY!$C$23:M23))</f>
        <v/>
      </c>
      <c r="N17" s="15">
        <f>-(SUM(MONTHLY!$C$21:N21)+SUM(MONTHLY!$C$22:N22)+SUM(MONTHLY!$C$23:N23))</f>
        <v/>
      </c>
    </row>
    <row r="18">
      <c r="A18" t="inlineStr">
        <is>
          <t>Corporate tax payable</t>
        </is>
      </c>
      <c r="C18" s="15">
        <f>-(SUM(MONTHLY!$C$24:C24))</f>
        <v/>
      </c>
      <c r="D18" s="15">
        <f>-(SUM(MONTHLY!$C$24:D24))</f>
        <v/>
      </c>
      <c r="E18" s="15">
        <f>-(SUM(MONTHLY!$C$24:E24))</f>
        <v/>
      </c>
      <c r="F18" s="15">
        <f>-(SUM(MONTHLY!$C$24:F24))</f>
        <v/>
      </c>
      <c r="G18" s="15">
        <f>-(SUM(MONTHLY!$C$24:G24))</f>
        <v/>
      </c>
      <c r="H18" s="15">
        <f>-(SUM(MONTHLY!$C$24:H24))</f>
        <v/>
      </c>
      <c r="I18" s="15">
        <f>-(SUM(MONTHLY!$C$24:I24))</f>
        <v/>
      </c>
      <c r="J18" s="15">
        <f>-(SUM(MONTHLY!$C$24:J24))</f>
        <v/>
      </c>
      <c r="K18" s="15">
        <f>-(SUM(MONTHLY!$C$24:K24))</f>
        <v/>
      </c>
      <c r="L18" s="15">
        <f>-(SUM(MONTHLY!$C$24:L24))</f>
        <v/>
      </c>
      <c r="M18" s="15">
        <f>-(SUM(MONTHLY!$C$24:M24))</f>
        <v/>
      </c>
      <c r="N18" s="15">
        <f>-(SUM(MONTHLY!$C$24:N24))</f>
        <v/>
      </c>
    </row>
    <row r="19">
      <c r="A19" t="inlineStr">
        <is>
          <t>Loans and borrowings</t>
        </is>
      </c>
      <c r="C19" s="15">
        <f>-(SUM(MONTHLY!$C$25:C25))</f>
        <v/>
      </c>
      <c r="D19" s="15">
        <f>-(SUM(MONTHLY!$C$25:D25))</f>
        <v/>
      </c>
      <c r="E19" s="15">
        <f>-(SUM(MONTHLY!$C$25:E25))</f>
        <v/>
      </c>
      <c r="F19" s="15">
        <f>-(SUM(MONTHLY!$C$25:F25))</f>
        <v/>
      </c>
      <c r="G19" s="15">
        <f>-(SUM(MONTHLY!$C$25:G25))</f>
        <v/>
      </c>
      <c r="H19" s="15">
        <f>-(SUM(MONTHLY!$C$25:H25))</f>
        <v/>
      </c>
      <c r="I19" s="15">
        <f>-(SUM(MONTHLY!$C$25:I25))</f>
        <v/>
      </c>
      <c r="J19" s="15">
        <f>-(SUM(MONTHLY!$C$25:J25))</f>
        <v/>
      </c>
      <c r="K19" s="15">
        <f>-(SUM(MONTHLY!$C$25:K25))</f>
        <v/>
      </c>
      <c r="L19" s="15">
        <f>-(SUM(MONTHLY!$C$25:L25))</f>
        <v/>
      </c>
      <c r="M19" s="15">
        <f>-(SUM(MONTHLY!$C$25:M25))</f>
        <v/>
      </c>
      <c r="N19" s="15">
        <f>-(SUM(MONTHLY!$C$25:N25))</f>
        <v/>
      </c>
    </row>
    <row r="20">
      <c r="A20" s="2" t="inlineStr">
        <is>
          <t>TOTAL LIABILITIES</t>
        </is>
      </c>
      <c r="C20" s="16">
        <f>-(SUM(MONTHLY!$C$16:C16)+SUM(MONTHLY!$C$17:C17)+SUM(MONTHLY!$C$18:C18)+SUM(MONTHLY!$C$19:C19)+SUM(MONTHLY!$C$20:C20)+SUM(MONTHLY!$C$21:C21)+SUM(MONTHLY!$C$22:C22)+SUM(MONTHLY!$C$23:C23)+SUM(MONTHLY!$C$24:C24)+SUM(MONTHLY!$C$25:C25))</f>
        <v/>
      </c>
      <c r="D20" s="16">
        <f>-(SUM(MONTHLY!$C$16:D16)+SUM(MONTHLY!$C$17:D17)+SUM(MONTHLY!$C$18:D18)+SUM(MONTHLY!$C$19:D19)+SUM(MONTHLY!$C$20:D20)+SUM(MONTHLY!$C$21:D21)+SUM(MONTHLY!$C$22:D22)+SUM(MONTHLY!$C$23:D23)+SUM(MONTHLY!$C$24:D24)+SUM(MONTHLY!$C$25:D25))</f>
        <v/>
      </c>
      <c r="E20" s="16">
        <f>-(SUM(MONTHLY!$C$16:E16)+SUM(MONTHLY!$C$17:E17)+SUM(MONTHLY!$C$18:E18)+SUM(MONTHLY!$C$19:E19)+SUM(MONTHLY!$C$20:E20)+SUM(MONTHLY!$C$21:E21)+SUM(MONTHLY!$C$22:E22)+SUM(MONTHLY!$C$23:E23)+SUM(MONTHLY!$C$24:E24)+SUM(MONTHLY!$C$25:E25))</f>
        <v/>
      </c>
      <c r="F20" s="16">
        <f>-(SUM(MONTHLY!$C$16:F16)+SUM(MONTHLY!$C$17:F17)+SUM(MONTHLY!$C$18:F18)+SUM(MONTHLY!$C$19:F19)+SUM(MONTHLY!$C$20:F20)+SUM(MONTHLY!$C$21:F21)+SUM(MONTHLY!$C$22:F22)+SUM(MONTHLY!$C$23:F23)+SUM(MONTHLY!$C$24:F24)+SUM(MONTHLY!$C$25:F25))</f>
        <v/>
      </c>
      <c r="G20" s="16">
        <f>-(SUM(MONTHLY!$C$16:G16)+SUM(MONTHLY!$C$17:G17)+SUM(MONTHLY!$C$18:G18)+SUM(MONTHLY!$C$19:G19)+SUM(MONTHLY!$C$20:G20)+SUM(MONTHLY!$C$21:G21)+SUM(MONTHLY!$C$22:G22)+SUM(MONTHLY!$C$23:G23)+SUM(MONTHLY!$C$24:G24)+SUM(MONTHLY!$C$25:G25))</f>
        <v/>
      </c>
      <c r="H20" s="16">
        <f>-(SUM(MONTHLY!$C$16:H16)+SUM(MONTHLY!$C$17:H17)+SUM(MONTHLY!$C$18:H18)+SUM(MONTHLY!$C$19:H19)+SUM(MONTHLY!$C$20:H20)+SUM(MONTHLY!$C$21:H21)+SUM(MONTHLY!$C$22:H22)+SUM(MONTHLY!$C$23:H23)+SUM(MONTHLY!$C$24:H24)+SUM(MONTHLY!$C$25:H25))</f>
        <v/>
      </c>
      <c r="I20" s="16">
        <f>-(SUM(MONTHLY!$C$16:I16)+SUM(MONTHLY!$C$17:I17)+SUM(MONTHLY!$C$18:I18)+SUM(MONTHLY!$C$19:I19)+SUM(MONTHLY!$C$20:I20)+SUM(MONTHLY!$C$21:I21)+SUM(MONTHLY!$C$22:I22)+SUM(MONTHLY!$C$23:I23)+SUM(MONTHLY!$C$24:I24)+SUM(MONTHLY!$C$25:I25))</f>
        <v/>
      </c>
      <c r="J20" s="16">
        <f>-(SUM(MONTHLY!$C$16:J16)+SUM(MONTHLY!$C$17:J17)+SUM(MONTHLY!$C$18:J18)+SUM(MONTHLY!$C$19:J19)+SUM(MONTHLY!$C$20:J20)+SUM(MONTHLY!$C$21:J21)+SUM(MONTHLY!$C$22:J22)+SUM(MONTHLY!$C$23:J23)+SUM(MONTHLY!$C$24:J24)+SUM(MONTHLY!$C$25:J25))</f>
        <v/>
      </c>
      <c r="K20" s="16">
        <f>-(SUM(MONTHLY!$C$16:K16)+SUM(MONTHLY!$C$17:K17)+SUM(MONTHLY!$C$18:K18)+SUM(MONTHLY!$C$19:K19)+SUM(MONTHLY!$C$20:K20)+SUM(MONTHLY!$C$21:K21)+SUM(MONTHLY!$C$22:K22)+SUM(MONTHLY!$C$23:K23)+SUM(MONTHLY!$C$24:K24)+SUM(MONTHLY!$C$25:K25))</f>
        <v/>
      </c>
      <c r="L20" s="16">
        <f>-(SUM(MONTHLY!$C$16:L16)+SUM(MONTHLY!$C$17:L17)+SUM(MONTHLY!$C$18:L18)+SUM(MONTHLY!$C$19:L19)+SUM(MONTHLY!$C$20:L20)+SUM(MONTHLY!$C$21:L21)+SUM(MONTHLY!$C$22:L22)+SUM(MONTHLY!$C$23:L23)+SUM(MONTHLY!$C$24:L24)+SUM(MONTHLY!$C$25:L25))</f>
        <v/>
      </c>
      <c r="M20" s="16">
        <f>-(SUM(MONTHLY!$C$16:M16)+SUM(MONTHLY!$C$17:M17)+SUM(MONTHLY!$C$18:M18)+SUM(MONTHLY!$C$19:M19)+SUM(MONTHLY!$C$20:M20)+SUM(MONTHLY!$C$21:M21)+SUM(MONTHLY!$C$22:M22)+SUM(MONTHLY!$C$23:M23)+SUM(MONTHLY!$C$24:M24)+SUM(MONTHLY!$C$25:M25))</f>
        <v/>
      </c>
      <c r="N20" s="16">
        <f>-(SUM(MONTHLY!$C$16:N16)+SUM(MONTHLY!$C$17:N17)+SUM(MONTHLY!$C$18:N18)+SUM(MONTHLY!$C$19:N19)+SUM(MONTHLY!$C$20:N20)+SUM(MONTHLY!$C$21:N21)+SUM(MONTHLY!$C$22:N22)+SUM(MONTHLY!$C$23:N23)+SUM(MONTHLY!$C$24:N24)+SUM(MONTHLY!$C$25:N25))</f>
        <v/>
      </c>
    </row>
    <row r="22">
      <c r="A22" s="2" t="inlineStr">
        <is>
          <t>EQUITY</t>
        </is>
      </c>
    </row>
    <row r="23">
      <c r="A23" t="inlineStr">
        <is>
          <t>Share capital</t>
        </is>
      </c>
      <c r="C23" s="15">
        <f>-(SUM(MONTHLY!$C$26:C26))</f>
        <v/>
      </c>
      <c r="D23" s="15">
        <f>-(SUM(MONTHLY!$C$26:D26))</f>
        <v/>
      </c>
      <c r="E23" s="15">
        <f>-(SUM(MONTHLY!$C$26:E26))</f>
        <v/>
      </c>
      <c r="F23" s="15">
        <f>-(SUM(MONTHLY!$C$26:F26))</f>
        <v/>
      </c>
      <c r="G23" s="15">
        <f>-(SUM(MONTHLY!$C$26:G26))</f>
        <v/>
      </c>
      <c r="H23" s="15">
        <f>-(SUM(MONTHLY!$C$26:H26))</f>
        <v/>
      </c>
      <c r="I23" s="15">
        <f>-(SUM(MONTHLY!$C$26:I26))</f>
        <v/>
      </c>
      <c r="J23" s="15">
        <f>-(SUM(MONTHLY!$C$26:J26))</f>
        <v/>
      </c>
      <c r="K23" s="15">
        <f>-(SUM(MONTHLY!$C$26:K26))</f>
        <v/>
      </c>
      <c r="L23" s="15">
        <f>-(SUM(MONTHLY!$C$26:L26))</f>
        <v/>
      </c>
      <c r="M23" s="15">
        <f>-(SUM(MONTHLY!$C$26:M26))</f>
        <v/>
      </c>
      <c r="N23" s="15">
        <f>-(SUM(MONTHLY!$C$26:N26))</f>
        <v/>
      </c>
    </row>
    <row r="24">
      <c r="A24" t="inlineStr">
        <is>
          <t>Retained earnings (incl. current-year profit)</t>
        </is>
      </c>
      <c r="C24" s="15">
        <f>-(SUM(MONTHLY!$C$27:C27))+SUM('P&amp;L'!$C$11:C11)</f>
        <v/>
      </c>
      <c r="D24" s="15">
        <f>-(SUM(MONTHLY!$C$27:D27))+SUM('P&amp;L'!$C$11:D11)</f>
        <v/>
      </c>
      <c r="E24" s="15">
        <f>-(SUM(MONTHLY!$C$27:E27))+SUM('P&amp;L'!$C$11:E11)</f>
        <v/>
      </c>
      <c r="F24" s="15">
        <f>-(SUM(MONTHLY!$C$27:F27))+SUM('P&amp;L'!$C$11:F11)</f>
        <v/>
      </c>
      <c r="G24" s="15">
        <f>-(SUM(MONTHLY!$C$27:G27))+SUM('P&amp;L'!$C$11:G11)</f>
        <v/>
      </c>
      <c r="H24" s="15">
        <f>-(SUM(MONTHLY!$C$27:H27))+SUM('P&amp;L'!$C$11:H11)</f>
        <v/>
      </c>
      <c r="I24" s="15">
        <f>-(SUM(MONTHLY!$C$27:I27))+SUM('P&amp;L'!$C$11:I11)</f>
        <v/>
      </c>
      <c r="J24" s="15">
        <f>-(SUM(MONTHLY!$C$27:J27))+SUM('P&amp;L'!$C$11:J11)</f>
        <v/>
      </c>
      <c r="K24" s="15">
        <f>-(SUM(MONTHLY!$C$27:K27))+SUM('P&amp;L'!$C$11:K11)</f>
        <v/>
      </c>
      <c r="L24" s="15">
        <f>-(SUM(MONTHLY!$C$27:L27))+SUM('P&amp;L'!$C$11:L11)</f>
        <v/>
      </c>
      <c r="M24" s="15">
        <f>-(SUM(MONTHLY!$C$27:M27))+SUM('P&amp;L'!$C$11:M11)</f>
        <v/>
      </c>
      <c r="N24" s="15">
        <f>-(SUM(MONTHLY!$C$27:N27))+SUM('P&amp;L'!$C$11:N11)</f>
        <v/>
      </c>
    </row>
    <row r="25">
      <c r="A25" s="2" t="inlineStr">
        <is>
          <t>TOTAL EQUITY</t>
        </is>
      </c>
      <c r="C25" s="16">
        <f>C23+C24</f>
        <v/>
      </c>
      <c r="D25" s="16">
        <f>D23+D24</f>
        <v/>
      </c>
      <c r="E25" s="16">
        <f>E23+E24</f>
        <v/>
      </c>
      <c r="F25" s="16">
        <f>F23+F24</f>
        <v/>
      </c>
      <c r="G25" s="16">
        <f>G23+G24</f>
        <v/>
      </c>
      <c r="H25" s="16">
        <f>H23+H24</f>
        <v/>
      </c>
      <c r="I25" s="16">
        <f>I23+I24</f>
        <v/>
      </c>
      <c r="J25" s="16">
        <f>J23+J24</f>
        <v/>
      </c>
      <c r="K25" s="16">
        <f>K23+K24</f>
        <v/>
      </c>
      <c r="L25" s="16">
        <f>L23+L24</f>
        <v/>
      </c>
      <c r="M25" s="16">
        <f>M23+M24</f>
        <v/>
      </c>
      <c r="N25" s="16">
        <f>N23+N24</f>
        <v/>
      </c>
    </row>
    <row r="27">
      <c r="A27" s="2" t="inlineStr">
        <is>
          <t>CHECK — must be zero</t>
        </is>
      </c>
      <c r="C27" s="19">
        <f>ROUND(C11-C20-C25,0)</f>
        <v/>
      </c>
      <c r="D27" s="19">
        <f>ROUND(D11-D20-D25,0)</f>
        <v/>
      </c>
      <c r="E27" s="19">
        <f>ROUND(E11-E20-E25,0)</f>
        <v/>
      </c>
      <c r="F27" s="19">
        <f>ROUND(F11-F20-F25,0)</f>
        <v/>
      </c>
      <c r="G27" s="19">
        <f>ROUND(G11-G20-G25,0)</f>
        <v/>
      </c>
      <c r="H27" s="19">
        <f>ROUND(H11-H20-H25,0)</f>
        <v/>
      </c>
      <c r="I27" s="19">
        <f>ROUND(I11-I20-I25,0)</f>
        <v/>
      </c>
      <c r="J27" s="19">
        <f>ROUND(J11-J20-J25,0)</f>
        <v/>
      </c>
      <c r="K27" s="19">
        <f>ROUND(K11-K20-K25,0)</f>
        <v/>
      </c>
      <c r="L27" s="19">
        <f>ROUND(L11-L20-L25,0)</f>
        <v/>
      </c>
      <c r="M27" s="19">
        <f>ROUND(M11-M20-M25,0)</f>
        <v/>
      </c>
      <c r="N27" s="19">
        <f>ROUND(N11-N20-N25,0)</f>
        <v/>
      </c>
    </row>
    <row r="29">
      <c r="A29" s="2" t="inlineStr">
        <is>
          <t>CASH GENUINELY OURS</t>
        </is>
      </c>
      <c r="C29" s="24">
        <f>C6-C15</f>
        <v/>
      </c>
      <c r="D29" s="24">
        <f>D6-D15</f>
        <v/>
      </c>
      <c r="E29" s="24">
        <f>E6-E15</f>
        <v/>
      </c>
      <c r="F29" s="24">
        <f>F6-F15</f>
        <v/>
      </c>
      <c r="G29" s="24">
        <f>G6-G15</f>
        <v/>
      </c>
      <c r="H29" s="24">
        <f>H6-H15</f>
        <v/>
      </c>
      <c r="I29" s="24">
        <f>I6-I15</f>
        <v/>
      </c>
      <c r="J29" s="24">
        <f>J6-J15</f>
        <v/>
      </c>
      <c r="K29" s="24">
        <f>K6-K15</f>
        <v/>
      </c>
      <c r="L29" s="24">
        <f>L6-L15</f>
        <v/>
      </c>
      <c r="M29" s="24">
        <f>M6-M15</f>
        <v/>
      </c>
      <c r="N29" s="24">
        <f>N6-N15</f>
        <v/>
      </c>
    </row>
    <row r="30">
      <c r="A30" s="3" t="inlineStr">
        <is>
          <t>Cash less customer deposits. Manage to THIS line, never to the cash line.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52" customWidth="1" min="1" max="1"/>
    <col width="24" customWidth="1" min="2" max="2"/>
    <col width="24" customWidth="1" min="3" max="3"/>
    <col width="60" customWidth="1" min="4" max="4"/>
  </cols>
  <sheetData>
    <row r="1">
      <c r="A1" s="1" t="inlineStr">
        <is>
          <t>CO-FOUNDERS</t>
        </is>
      </c>
    </row>
    <row r="2">
      <c r="A2" s="2" t="inlineStr">
        <is>
          <t>READER: The people who carry the risk with you</t>
        </is>
      </c>
    </row>
    <row r="3">
      <c r="A3" s="3" t="inlineStr">
        <is>
          <t>THEY ARE GRADING YOU ON: Honesty. They can handle bad news; they cannot handle finding out late.</t>
        </is>
      </c>
    </row>
    <row r="4">
      <c r="A4" s="3" t="inlineStr">
        <is>
          <t>The unvarnished version. Everything that is wrong goes here first, before it goes anywhere else.</t>
        </is>
      </c>
    </row>
    <row r="6">
      <c r="A6" s="4" t="inlineStr">
        <is>
          <t>WHERE WE ACTUALLY STAND</t>
        </is>
      </c>
      <c r="B6" s="5" t="n"/>
      <c r="C6" s="5" t="n"/>
      <c r="D6" s="5" t="n"/>
    </row>
    <row r="7">
      <c r="A7" t="inlineStr">
        <is>
          <t>Cash in the bank</t>
        </is>
      </c>
      <c r="B7" s="16">
        <f>INDEX('BALANCE SHEET'!$C$6:$N$6,TvA!$B$4)</f>
        <v/>
      </c>
      <c r="D7" s="3" t="inlineStr">
        <is>
          <t>Includes money that is not ours</t>
        </is>
      </c>
    </row>
    <row r="8">
      <c r="A8" t="inlineStr">
        <is>
          <t>Customer deposits we owe back</t>
        </is>
      </c>
      <c r="B8" s="16">
        <f>INDEX('BALANCE SHEET'!$C$15:$N$15,TvA!$B$4)</f>
        <v/>
      </c>
      <c r="D8" s="3" t="inlineStr">
        <is>
          <t>Repayable when a jar comes back</t>
        </is>
      </c>
    </row>
    <row r="9">
      <c r="A9" t="inlineStr">
        <is>
          <t>CASH GENUINELY OURS</t>
        </is>
      </c>
      <c r="B9" s="16">
        <f>INDEX('BALANCE SHEET'!$C$29:$N$29,TvA!$B$4)</f>
        <v/>
      </c>
      <c r="D9" s="3" t="inlineStr">
        <is>
          <t>This is the real number. Manage to it.</t>
        </is>
      </c>
    </row>
    <row r="10">
      <c r="A10" t="inlineStr">
        <is>
          <t>Months of cover at current burn</t>
        </is>
      </c>
      <c r="B10" s="25">
        <f>IFERROR(B8/MAX(1,-INDEX('P&amp;L'!$C$11:$N$11,TvA!$B$4)),"n/a")</f>
        <v/>
      </c>
      <c r="D10" s="3" t="inlineStr">
        <is>
          <t>Blank while profitable</t>
        </is>
      </c>
    </row>
    <row r="11">
      <c r="A11" t="inlineStr">
        <is>
          <t>Profit before tax this month</t>
        </is>
      </c>
      <c r="B11" s="16">
        <f>INDEX('P&amp;L'!$C$9:$N$9,TvA!$B$4)</f>
        <v/>
      </c>
      <c r="D11" s="3" t="inlineStr"/>
    </row>
    <row r="12">
      <c r="A12" t="inlineStr">
        <is>
          <t>Against target</t>
        </is>
      </c>
      <c r="B12" s="16">
        <f>TvA!D12</f>
        <v/>
      </c>
      <c r="D12" s="3" t="inlineStr">
        <is>
          <t>Variance on profit before tax</t>
        </is>
      </c>
    </row>
    <row r="14">
      <c r="A14" s="4" t="inlineStr">
        <is>
          <t>THE THINGS WE ARE CARRYING</t>
        </is>
      </c>
      <c r="B14" s="5" t="n"/>
      <c r="C14" s="5" t="n"/>
      <c r="D14" s="5" t="n"/>
    </row>
    <row r="15">
      <c r="A15" t="inlineStr">
        <is>
          <t>•  No facility, no overdraft, no committed tranche behind the thinnest month.</t>
        </is>
      </c>
    </row>
    <row r="16">
      <c r="A16" t="inlineStr">
        <is>
          <t>•  Half the B2B price ladder is still unapproved, so part of the revenue mix is assumption.</t>
        </is>
      </c>
    </row>
    <row r="17">
      <c r="A17" t="inlineStr">
        <is>
          <t>•  We model zero jar returns. Every jar that comes back is cash out with no revenue against it.</t>
        </is>
      </c>
    </row>
    <row r="18">
      <c r="A18" t="inlineStr">
        <is>
          <t>•  We model zero receivables. The first institution asking for 30 days changes the cash shape.</t>
        </is>
      </c>
    </row>
    <row r="19">
      <c r="A19" t="inlineStr">
        <is>
          <t>•  NSSF employer is recorded at 5%; statutory is 10%. Local Service Tax is missing entirely.</t>
        </is>
      </c>
    </row>
    <row r="20">
      <c r="A20" t="inlineStr">
        <is>
          <t>•  Finance is two founders wearing hats. Segregation of duties is arithmetically impossible.</t>
        </is>
      </c>
    </row>
    <row r="22">
      <c r="A22" s="4" t="inlineStr">
        <is>
          <t>THE MONTHLY MESSAGE — LEAD</t>
        </is>
      </c>
      <c r="B22" s="5" t="n"/>
      <c r="C22" s="5" t="n"/>
      <c r="D22" s="5" t="n"/>
    </row>
    <row r="23">
      <c r="A23" s="2" t="inlineStr">
        <is>
          <t>L — the finding</t>
        </is>
      </c>
      <c r="B23" s="6" t="inlineStr">
        <is>
          <t>[one sentence: what happened and what I recommend]</t>
        </is>
      </c>
    </row>
    <row r="24">
      <c r="A24" s="2" t="inlineStr">
        <is>
          <t>E — the driver</t>
        </is>
      </c>
      <c r="B24" s="6" t="inlineStr">
        <is>
          <t>[the driver — the seventh answer, not the first]</t>
        </is>
      </c>
    </row>
    <row r="25">
      <c r="A25" s="2" t="inlineStr">
        <is>
          <t>A — the amount</t>
        </is>
      </c>
      <c r="B25" s="6" t="inlineStr">
        <is>
          <t>[the amount at stake, in UGX]</t>
        </is>
      </c>
    </row>
    <row r="26">
      <c r="A26" s="2" t="inlineStr">
        <is>
          <t>D — the decision</t>
        </is>
      </c>
      <c r="B26" s="6" t="inlineStr">
        <is>
          <t>[what I need decided, and by when]</t>
        </is>
      </c>
    </row>
  </sheetData>
  <mergeCells count="4">
    <mergeCell ref="B26:D26"/>
    <mergeCell ref="B23:D23"/>
    <mergeCell ref="B25:D25"/>
    <mergeCell ref="B24:D2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52" customWidth="1" min="1" max="1"/>
    <col width="24" customWidth="1" min="2" max="2"/>
    <col width="24" customWidth="1" min="3" max="3"/>
    <col width="60" customWidth="1" min="4" max="4"/>
  </cols>
  <sheetData>
    <row r="1">
      <c r="A1" s="1" t="inlineStr">
        <is>
          <t>INVESTORS</t>
        </is>
      </c>
    </row>
    <row r="2">
      <c r="A2" s="2" t="inlineStr">
        <is>
          <t>READER: Existing and prospective equity investors</t>
        </is>
      </c>
    </row>
    <row r="3">
      <c r="A3" s="3" t="inlineStr">
        <is>
          <t>THEY ARE GRADING YOU ON: "Growth, and no surprises." — Renew CFO100 Session 4</t>
        </is>
      </c>
    </row>
    <row r="4">
      <c r="A4" s="3" t="inlineStr">
        <is>
          <t>Growth trajectory, unit economics, and the risks named BEFORE they are asked about. Never let an investor discover a problem you knew about.</t>
        </is>
      </c>
    </row>
    <row r="6">
      <c r="A6" s="4" t="inlineStr">
        <is>
          <t>THE HEADLINE</t>
        </is>
      </c>
      <c r="B6" s="5" t="n"/>
      <c r="C6" s="5" t="n"/>
      <c r="D6" s="5" t="n"/>
    </row>
    <row r="7">
      <c r="A7" t="inlineStr">
        <is>
          <t>Net revenue — month</t>
        </is>
      </c>
      <c r="B7" s="16">
        <f>INDEX('P&amp;L'!$C$5:$N$5,TvA!$B$4)</f>
        <v/>
      </c>
      <c r="D7" s="3" t="inlineStr"/>
    </row>
    <row r="8">
      <c r="A8" t="inlineStr">
        <is>
          <t>Net revenue — year to date</t>
        </is>
      </c>
      <c r="B8" s="16">
        <f>SUM(OFFSET('P&amp;L'!$C$5,0,0,1,TvA!$B$4))</f>
        <v/>
      </c>
      <c r="D8" s="3" t="inlineStr"/>
    </row>
    <row r="9">
      <c r="A9" t="inlineStr">
        <is>
          <t>Gross margin</t>
        </is>
      </c>
      <c r="B9" s="22">
        <f>IFERROR(INDEX('P&amp;L'!$C$7:$N$7,TvA!$B$4)/INDEX('P&amp;L'!$C$5:$N$5,TvA!$B$4),"")</f>
        <v/>
      </c>
      <c r="D9" s="3" t="inlineStr">
        <is>
          <t>Plan: 18% in M1 rising to 46% by M12</t>
        </is>
      </c>
    </row>
    <row r="10">
      <c r="A10" t="inlineStr">
        <is>
          <t>Pre-tax margin</t>
        </is>
      </c>
      <c r="B10" s="22">
        <f>IFERROR(INDEX('P&amp;L'!$C$9:$N$9,TvA!$B$4)/INDEX('P&amp;L'!$C$5:$N$5,TvA!$B$4),"")</f>
        <v/>
      </c>
      <c r="D10" s="3" t="inlineStr">
        <is>
          <t>Renew band: 5% life support, 10% floor, 15% healthy</t>
        </is>
      </c>
    </row>
    <row r="11">
      <c r="A11" t="inlineStr">
        <is>
          <t>Revenue vs target</t>
        </is>
      </c>
      <c r="B11" s="22">
        <f>TvA!E8</f>
        <v/>
      </c>
      <c r="D11" s="3" t="inlineStr">
        <is>
          <t>Bucket 1. The number they will ask about.</t>
        </is>
      </c>
    </row>
    <row r="13">
      <c r="A13" s="4" t="inlineStr">
        <is>
          <t>UNIT ECONOMICS — the thing that actually decides this business</t>
        </is>
      </c>
      <c r="B13" s="5" t="n"/>
      <c r="C13" s="5" t="n"/>
      <c r="D13" s="5" t="n"/>
    </row>
    <row r="14">
      <c r="A14" t="inlineStr">
        <is>
          <t>Jars sold per day (month average)</t>
        </is>
      </c>
      <c r="B14" s="26" t="n"/>
      <c r="D14" s="3" t="inlineStr">
        <is>
          <t>From JOURNAL once trading</t>
        </is>
      </c>
    </row>
    <row r="15">
      <c r="A15" t="inlineStr">
        <is>
          <t>Full break-even, incl jar programme</t>
        </is>
      </c>
      <c r="B15" s="26" t="n">
        <v>577</v>
      </c>
      <c r="D15" s="3" t="inlineStr">
        <is>
          <t>jars/day in month 1 — from the plan</t>
        </is>
      </c>
    </row>
    <row r="16">
      <c r="A16" t="inlineStr">
        <is>
          <t>Headroom over break-even</t>
        </is>
      </c>
      <c r="B16" s="26" t="n"/>
      <c r="D16" s="3" t="inlineStr">
        <is>
          <t>Negative means we are below break-even</t>
        </is>
      </c>
    </row>
    <row r="17">
      <c r="A17" t="inlineStr">
        <is>
          <t>Contribution per unit</t>
        </is>
      </c>
      <c r="B17" s="27" t="n"/>
      <c r="D17" s="3" t="inlineStr">
        <is>
          <t>Plan: 1,617 in M1 rising to 2,090 by M12</t>
        </is>
      </c>
    </row>
    <row r="18">
      <c r="A18" t="inlineStr">
        <is>
          <t>Customer acquisition cost per jar customer</t>
        </is>
      </c>
      <c r="B18" s="16" t="n"/>
      <c r="D18" s="3" t="inlineStr">
        <is>
          <t>GAP-18 — NOT MODELLED. They will ask.</t>
        </is>
      </c>
    </row>
    <row r="20">
      <c r="A20" s="4" t="inlineStr">
        <is>
          <t>RISKS WE ARE NAMING OURSELVES</t>
        </is>
      </c>
      <c r="B20" s="5" t="n"/>
      <c r="C20" s="5" t="n"/>
      <c r="D20" s="5" t="n"/>
    </row>
    <row r="21">
      <c r="A21" t="inlineStr">
        <is>
          <t>•  Pre-revenue until 1 Oct 2026. Every ratio before that date is a forecast, not a result.</t>
        </is>
      </c>
    </row>
    <row r="22">
      <c r="A22" t="inlineStr">
        <is>
          <t>•  Single site, single city. Any interruption is total, not partial.</t>
        </is>
      </c>
    </row>
    <row r="23">
      <c r="A23" t="inlineStr">
        <is>
          <t>•  Customer deposits are our largest liability and are funded by growth.</t>
        </is>
      </c>
    </row>
    <row r="24">
      <c r="A24" t="inlineStr">
        <is>
          <t>•  The volume ramp is not yet contracted. It is the assumption the whole plan rests on.</t>
        </is>
      </c>
    </row>
    <row r="25">
      <c r="A25" t="inlineStr">
        <is>
          <t>•  No auditor appointed. Reviewed accounts are cheaper now than under a raise deadline.</t>
        </is>
      </c>
    </row>
    <row r="27">
      <c r="A27" s="4" t="inlineStr">
        <is>
          <t>THE MONTHLY MESSAGE — LEAD</t>
        </is>
      </c>
      <c r="B27" s="5" t="n"/>
      <c r="C27" s="5" t="n"/>
      <c r="D27" s="5" t="n"/>
    </row>
    <row r="28">
      <c r="A28" s="2" t="inlineStr">
        <is>
          <t>L — the finding</t>
        </is>
      </c>
      <c r="B28" s="6" t="inlineStr">
        <is>
          <t>[the finding — growth, and the one thing that could derail it]</t>
        </is>
      </c>
    </row>
    <row r="29">
      <c r="A29" s="2" t="inlineStr">
        <is>
          <t>E — the driver</t>
        </is>
      </c>
      <c r="B29" s="6" t="inlineStr">
        <is>
          <t>[the driver]</t>
        </is>
      </c>
    </row>
    <row r="30">
      <c r="A30" s="2" t="inlineStr">
        <is>
          <t>A — the amount</t>
        </is>
      </c>
      <c r="B30" s="6" t="inlineStr">
        <is>
          <t>[UGX, and what it means for the plan]</t>
        </is>
      </c>
    </row>
    <row r="31">
      <c r="A31" s="2" t="inlineStr">
        <is>
          <t>D — the decision</t>
        </is>
      </c>
      <c r="B31" s="6" t="inlineStr">
        <is>
          <t>[what we are asking for, or 'nothing needed from you']</t>
        </is>
      </c>
    </row>
    <row r="33">
      <c r="A33" s="3" t="inlineStr">
        <is>
          <t>Renew: "Nothing needed from you" is a legitimate D line. Use it when it is true.</t>
        </is>
      </c>
    </row>
  </sheetData>
  <mergeCells count="4">
    <mergeCell ref="B29:D29"/>
    <mergeCell ref="B28:D28"/>
    <mergeCell ref="B30:D30"/>
    <mergeCell ref="B31:D3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52" customWidth="1" min="1" max="1"/>
    <col width="24" customWidth="1" min="2" max="2"/>
    <col width="24" customWidth="1" min="3" max="3"/>
    <col width="60" customWidth="1" min="4" max="4"/>
  </cols>
  <sheetData>
    <row r="1">
      <c r="A1" s="1" t="inlineStr">
        <is>
          <t>INTERNAL — MANAGEMENT</t>
        </is>
      </c>
    </row>
    <row r="2">
      <c r="A2" s="2" t="inlineStr">
        <is>
          <t>READER: Sammy and whoever runs the plant and the route</t>
        </is>
      </c>
    </row>
    <row r="3">
      <c r="A3" s="3" t="inlineStr">
        <is>
          <t>THEY ARE GRADING YOU ON: "Accuracy, and can I use this Monday morning." — Renew CFO100 Session 4</t>
        </is>
      </c>
    </row>
    <row r="4">
      <c r="A4" s="3" t="inlineStr">
        <is>
          <t>Operational. No ratios nobody acts on. Only numbers that change what someone does this week.</t>
        </is>
      </c>
    </row>
    <row r="6">
      <c r="A6" s="4" t="inlineStr">
        <is>
          <t>THIS WEEK</t>
        </is>
      </c>
      <c r="B6" s="5" t="n"/>
      <c r="C6" s="5" t="n"/>
      <c r="D6" s="5" t="n"/>
    </row>
    <row r="7">
      <c r="A7" t="inlineStr">
        <is>
          <t>Jars/day needed to break even (incl jar programme)</t>
        </is>
      </c>
      <c r="B7" s="26" t="n">
        <v>577</v>
      </c>
      <c r="D7" s="3" t="inlineStr">
        <is>
          <t>The number everyone on site should know</t>
        </is>
      </c>
    </row>
    <row r="8">
      <c r="A8" t="inlineStr">
        <is>
          <t>Jars/day actually produced</t>
        </is>
      </c>
      <c r="B8" s="26" t="n"/>
      <c r="D8" s="3" t="inlineStr"/>
    </row>
    <row r="9">
      <c r="A9" t="inlineStr">
        <is>
          <t>Above / (below) break-even</t>
        </is>
      </c>
      <c r="B9" s="26" t="n"/>
      <c r="D9" s="3" t="inlineStr"/>
    </row>
    <row r="10">
      <c r="A10" t="inlineStr">
        <is>
          <t>Cash at close of last week</t>
        </is>
      </c>
      <c r="B10" s="16" t="n"/>
      <c r="D10" s="3" t="inlineStr">
        <is>
          <t>From CASH 13-WEEK</t>
        </is>
      </c>
    </row>
    <row r="11">
      <c r="A11" t="inlineStr">
        <is>
          <t>Headroom over the minimum floor</t>
        </is>
      </c>
      <c r="B11" s="16" t="n"/>
      <c r="D11" s="3" t="inlineStr">
        <is>
          <t>Negative = something gets cut this week</t>
        </is>
      </c>
    </row>
    <row r="13">
      <c r="A13" s="4" t="inlineStr">
        <is>
          <t>MIX AND COST</t>
        </is>
      </c>
      <c r="B13" s="5" t="n"/>
      <c r="C13" s="5" t="n"/>
      <c r="D13" s="5" t="n"/>
    </row>
    <row r="14">
      <c r="A14" t="inlineStr">
        <is>
          <t>Volume — 20L refill</t>
        </is>
      </c>
      <c r="B14" s="26" t="n"/>
      <c r="D14" s="3" t="inlineStr">
        <is>
          <t>From JOURNAL, by Product</t>
        </is>
      </c>
    </row>
    <row r="15">
      <c r="A15" t="inlineStr">
        <is>
          <t>Volume — 20L single-use</t>
        </is>
      </c>
      <c r="B15" s="26" t="n"/>
      <c r="D15" s="3" t="inlineStr">
        <is>
          <t>From JOURNAL, by Product</t>
        </is>
      </c>
    </row>
    <row r="16">
      <c r="A16" t="inlineStr">
        <is>
          <t>Volume — 5L single-use</t>
        </is>
      </c>
      <c r="B16" s="26" t="n"/>
      <c r="D16" s="3" t="inlineStr">
        <is>
          <t>From JOURNAL, by Product</t>
        </is>
      </c>
    </row>
    <row r="17">
      <c r="A17" t="inlineStr">
        <is>
          <t>New jars issued</t>
        </is>
      </c>
      <c r="B17" s="26" t="n"/>
      <c r="D17" s="3" t="inlineStr">
        <is>
          <t>From JOURNAL, by Product</t>
        </is>
      </c>
    </row>
    <row r="18">
      <c r="A18" t="inlineStr">
        <is>
          <t>Jars returned</t>
        </is>
      </c>
      <c r="B18" s="26" t="n"/>
      <c r="D18" s="3" t="inlineStr">
        <is>
          <t>From JOURNAL, by Product</t>
        </is>
      </c>
    </row>
    <row r="19">
      <c r="A19" t="inlineStr">
        <is>
          <t>Cost of sales per unit</t>
        </is>
      </c>
      <c r="B19" s="27" t="n"/>
      <c r="D19" s="3" t="inlineStr">
        <is>
          <t>Plan: 3,884 in M1 falling to 2,132 by M12</t>
        </is>
      </c>
    </row>
    <row r="20">
      <c r="A20" t="inlineStr">
        <is>
          <t>Days of inventory on hand</t>
        </is>
      </c>
      <c r="B20" s="25" t="n"/>
      <c r="D20" s="3" t="inlineStr">
        <is>
          <t>Plan: about 3 days</t>
        </is>
      </c>
    </row>
    <row r="22">
      <c r="A22" s="4" t="inlineStr">
        <is>
          <t>THE WEEKLY FLASH — one page, every week</t>
        </is>
      </c>
      <c r="B22" s="5" t="n"/>
      <c r="C22" s="5" t="n"/>
      <c r="D22" s="5" t="n"/>
    </row>
    <row r="23">
      <c r="A23" t="inlineStr">
        <is>
          <t>•  Expected month-end revenue</t>
        </is>
      </c>
      <c r="B23" s="6" t="inlineStr"/>
    </row>
    <row r="24">
      <c r="A24" t="inlineStr">
        <is>
          <t>•  Expected month-end contribution</t>
        </is>
      </c>
      <c r="B24" s="6" t="inlineStr"/>
    </row>
    <row r="25">
      <c r="A25" t="inlineStr">
        <is>
          <t>•  Expected month-end cash</t>
        </is>
      </c>
      <c r="B25" s="6" t="inlineStr"/>
    </row>
    <row r="26">
      <c r="A26" t="inlineStr">
        <is>
          <t>•  Anything that will miss, and what I am doing about it</t>
        </is>
      </c>
      <c r="B26" s="6"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52" customWidth="1" min="1" max="1"/>
    <col width="24" customWidth="1" min="2" max="2"/>
    <col width="24" customWidth="1" min="3" max="3"/>
    <col width="60" customWidth="1" min="4" max="4"/>
  </cols>
  <sheetData>
    <row r="1">
      <c r="A1" s="1" t="inlineStr">
        <is>
          <t>TAX — URA</t>
        </is>
      </c>
    </row>
    <row r="2">
      <c r="A2" s="2" t="inlineStr">
        <is>
          <t>READER: Uganda Revenue Authority, and our tax advisor</t>
        </is>
      </c>
    </row>
    <row r="3">
      <c r="A3" s="3" t="inlineStr">
        <is>
          <t>THEY ARE GRADING YOU ON: "Is the format right and the number defensible." — Renew CFO100 Session 4</t>
        </is>
      </c>
    </row>
    <row r="4">
      <c r="A4" s="3" t="inlineStr">
        <is>
          <t>Nothing persuasive here. Only what is owed, what was paid, and when it is due. Every figure must trace to a journal entry.</t>
        </is>
      </c>
    </row>
    <row r="6">
      <c r="A6" s="4" t="inlineStr">
        <is>
          <t>COLLECTED FOR URA — never our revenue</t>
        </is>
      </c>
      <c r="B6" s="5" t="n"/>
      <c r="C6" s="5" t="n"/>
      <c r="D6" s="5" t="n"/>
    </row>
    <row r="7">
      <c r="A7" t="inlineStr">
        <is>
          <t>Gross billings (VAT-inclusive)</t>
        </is>
      </c>
      <c r="B7" s="16" t="n"/>
      <c r="D7" s="3" t="inlineStr">
        <is>
          <t>Memo line only</t>
        </is>
      </c>
    </row>
    <row r="8">
      <c r="A8" t="inlineStr">
        <is>
          <t>Output VAT</t>
        </is>
      </c>
      <c r="B8" s="16">
        <f>-INDEX('BALANCE SHEET'!$C$16:$N$16,TvA!$B$4)*0+SUM(OFFSET(MONTHLY!$C$18,0,0,1,TvA!$B$4))*-1</f>
        <v/>
      </c>
      <c r="D8" s="3" t="inlineStr">
        <is>
          <t>18%</t>
        </is>
      </c>
    </row>
    <row r="9">
      <c r="A9" t="inlineStr">
        <is>
          <t>Excise duty</t>
        </is>
      </c>
      <c r="B9" s="16">
        <f>SUM(OFFSET(MONTHLY!$C$19,0,0,1,TvA!$B$4))*-1</f>
        <v/>
      </c>
      <c r="D9" s="3" t="inlineStr">
        <is>
          <t>Higher of 10% ad valorem or 50 UGX/litre</t>
        </is>
      </c>
    </row>
    <row r="10">
      <c r="A10" t="inlineStr">
        <is>
          <t>Digital tax stamps</t>
        </is>
      </c>
      <c r="B10" s="16">
        <f>SUM(OFFSET(MONTHLY!$C$20,0,0,1,TvA!$B$4))*-1</f>
        <v/>
      </c>
      <c r="D10" s="3" t="inlineStr">
        <is>
          <t>15 UGX per unit, refills included</t>
        </is>
      </c>
    </row>
    <row r="11">
      <c r="A11" t="inlineStr">
        <is>
          <t>Input VAT recoverable</t>
        </is>
      </c>
      <c r="B11" s="16">
        <f>SUM(OFFSET(MONTHLY!$C$13,0,0,1,TvA!$B$4))</f>
        <v/>
      </c>
      <c r="D11" s="3" t="inlineStr">
        <is>
          <t>Only as good as our EFRIS discipline</t>
        </is>
      </c>
    </row>
    <row r="13">
      <c r="A13" s="4" t="inlineStr">
        <is>
          <t>PAYROLL STATUTORY</t>
        </is>
      </c>
      <c r="B13" s="5" t="n"/>
      <c r="C13" s="5" t="n"/>
      <c r="D13" s="5" t="n"/>
    </row>
    <row r="14">
      <c r="A14" t="inlineStr">
        <is>
          <t>PAYE withheld</t>
        </is>
      </c>
      <c r="B14" s="16">
        <f>SUM(OFFSET(MONTHLY!$C$21,0,0,1,TvA!$B$4))*-1</f>
        <v/>
      </c>
      <c r="D14" s="3" t="inlineStr"/>
    </row>
    <row r="15">
      <c r="A15" t="inlineStr">
        <is>
          <t>NSSF — employee 5%</t>
        </is>
      </c>
      <c r="B15" s="16" t="n"/>
      <c r="D15" s="3" t="inlineStr"/>
    </row>
    <row r="16">
      <c r="A16" t="inlineStr">
        <is>
          <t>NSSF — employer</t>
        </is>
      </c>
      <c r="B16" s="16" t="n"/>
      <c r="D16" s="3" t="inlineStr">
        <is>
          <t>GAP-04: recorded 5%, statutory 10%. CONFIRM before payroll runs.</t>
        </is>
      </c>
    </row>
    <row r="17">
      <c r="A17" t="inlineStr">
        <is>
          <t>Local Service Tax</t>
        </is>
      </c>
      <c r="B17" s="16" t="n"/>
      <c r="D17" s="3" t="inlineStr">
        <is>
          <t>GAP-05: NOT IN THE MODEL AT ALL</t>
        </is>
      </c>
    </row>
    <row r="19">
      <c r="A19" s="4" t="inlineStr">
        <is>
          <t>CORPORATE TAX</t>
        </is>
      </c>
      <c r="B19" s="5" t="n"/>
      <c r="C19" s="5" t="n"/>
      <c r="D19" s="5" t="n"/>
    </row>
    <row r="20">
      <c r="A20" t="inlineStr">
        <is>
          <t>Accrued year to date</t>
        </is>
      </c>
      <c r="B20" s="16">
        <f>SUM(OFFSET('P&amp;L'!$C$10,0,0,1,TvA!$B$4))</f>
        <v/>
      </c>
      <c r="D20" s="3" t="inlineStr"/>
    </row>
    <row r="21">
      <c r="A21" t="inlineStr">
        <is>
          <t>Paid year to date</t>
        </is>
      </c>
      <c r="B21" s="16" t="n"/>
      <c r="D21" s="3" t="inlineStr"/>
    </row>
    <row r="22">
      <c r="A22" t="inlineStr">
        <is>
          <t>Payable</t>
        </is>
      </c>
      <c r="B22" s="16">
        <f>-INDEX('BALANCE SHEET'!$C$18:$N$18,TvA!$B$4)*-1</f>
        <v/>
      </c>
      <c r="D22" s="3" t="inlineStr">
        <is>
          <t>Accrues monthly, PAID QUARTERLY</t>
        </is>
      </c>
    </row>
    <row r="24">
      <c r="A24" s="4" t="inlineStr">
        <is>
          <t>FILING CALENDAR — fix a date each month and never move it</t>
        </is>
      </c>
      <c r="B24" s="5" t="n"/>
      <c r="C24" s="5" t="n"/>
      <c r="D24" s="5" t="n"/>
    </row>
    <row r="25">
      <c r="A25" t="inlineStr">
        <is>
          <t>VAT return</t>
        </is>
      </c>
      <c r="B25" s="2" t="inlineStr">
        <is>
          <t>15th of the following month</t>
        </is>
      </c>
    </row>
    <row r="26">
      <c r="A26" t="inlineStr">
        <is>
          <t>PAYE and NSSF</t>
        </is>
      </c>
      <c r="B26" s="2" t="inlineStr">
        <is>
          <t>15th of the following month</t>
        </is>
      </c>
    </row>
    <row r="27">
      <c r="A27" t="inlineStr">
        <is>
          <t>Corporate tax (provisional)</t>
        </is>
      </c>
      <c r="B27" s="2" t="inlineStr">
        <is>
          <t>Quarterly</t>
        </is>
      </c>
    </row>
    <row r="28">
      <c r="A28" t="inlineStr">
        <is>
          <t>Trading licence (KCCA)</t>
        </is>
      </c>
      <c r="B28" s="2" t="inlineStr">
        <is>
          <t>Annual — 600,000</t>
        </is>
      </c>
    </row>
    <row r="29">
      <c r="A29" t="inlineStr">
        <is>
          <t>Local Service Tax</t>
        </is>
      </c>
      <c r="B29" s="2" t="inlineStr">
        <is>
          <t>GAP-05 — confirm the cycle</t>
        </is>
      </c>
    </row>
    <row r="30">
      <c r="A30" t="inlineStr">
        <is>
          <t>Annual return</t>
        </is>
      </c>
      <c r="B30" s="2" t="inlineStr">
        <is>
          <t>Annual</t>
        </is>
      </c>
    </row>
    <row r="32">
      <c r="A32" s="2" t="inlineStr">
        <is>
          <t>29.1% of gross billings is VAT and excise. None of it is ours. Do not spend it.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52" customWidth="1" min="1" max="1"/>
    <col width="24" customWidth="1" min="2" max="2"/>
    <col width="24" customWidth="1" min="3" max="3"/>
    <col width="60" customWidth="1" min="4" max="4"/>
  </cols>
  <sheetData>
    <row r="1">
      <c r="A1" s="1" t="inlineStr">
        <is>
          <t>LENDERS AND PARTNERS</t>
        </is>
      </c>
    </row>
    <row r="2">
      <c r="A2" s="2" t="inlineStr">
        <is>
          <t>READER: Banks, DFIs, catalytic funders, trade partners</t>
        </is>
      </c>
    </row>
    <row r="3">
      <c r="A3" s="3" t="inlineStr">
        <is>
          <t>THEY ARE GRADING YOU ON: "Can this business pay what it owes." — Renew CFO100 Session 4</t>
        </is>
      </c>
    </row>
    <row r="4">
      <c r="A4" s="3" t="inlineStr">
        <is>
          <t>Capacity to service, not growth story. A lender is underwriting the downside, so show them you have one.</t>
        </is>
      </c>
    </row>
    <row r="6">
      <c r="A6" s="4" t="inlineStr">
        <is>
          <t>CAPACITY TO SERVICE</t>
        </is>
      </c>
      <c r="B6" s="5" t="n"/>
      <c r="C6" s="5" t="n"/>
      <c r="D6" s="5" t="n"/>
    </row>
    <row r="7">
      <c r="A7" t="inlineStr">
        <is>
          <t>EBITDA year to date</t>
        </is>
      </c>
      <c r="B7" s="16">
        <f>SUM(OFFSET('P&amp;L'!$C$9,0,0,1,TvA!$B$4))+SUM(OFFSET(MONTHLY!$C$54,0,0,1,TvA!$B$4))</f>
        <v/>
      </c>
      <c r="D7" s="3" t="inlineStr">
        <is>
          <t>Profit before tax plus depreciation</t>
        </is>
      </c>
    </row>
    <row r="8">
      <c r="A8" t="inlineStr">
        <is>
          <t>Total debt</t>
        </is>
      </c>
      <c r="B8" s="16">
        <f>-INDEX('BALANCE SHEET'!$C$19:$N$19,TvA!$B$4)*-1</f>
        <v/>
      </c>
      <c r="D8" s="3" t="inlineStr">
        <is>
          <t>None today — self-funded</t>
        </is>
      </c>
    </row>
    <row r="9">
      <c r="A9" t="inlineStr">
        <is>
          <t>Debt to EBITDA</t>
        </is>
      </c>
      <c r="B9" s="28" t="n"/>
      <c r="D9" s="3" t="inlineStr">
        <is>
          <t>Target under 3.0x</t>
        </is>
      </c>
    </row>
    <row r="10">
      <c r="A10" t="inlineStr">
        <is>
          <t>DSCR</t>
        </is>
      </c>
      <c r="B10" s="28" t="n"/>
      <c r="D10" s="3" t="inlineStr">
        <is>
          <t>EBITDA / debt service</t>
        </is>
      </c>
    </row>
    <row r="11">
      <c r="A11" t="inlineStr">
        <is>
          <t>Indicative debt capacity</t>
        </is>
      </c>
      <c r="B11" s="26" t="n">
        <v>400000</v>
      </c>
      <c r="D11" s="3" t="inlineStr">
        <is>
          <t>USD, at 1.25x cover — from the model, Site 1 only</t>
        </is>
      </c>
    </row>
    <row r="13">
      <c r="A13" s="4" t="inlineStr">
        <is>
          <t>LIQUIDITY AND THE DOWNSIDE</t>
        </is>
      </c>
      <c r="B13" s="5" t="n"/>
      <c r="C13" s="5" t="n"/>
      <c r="D13" s="5" t="n"/>
    </row>
    <row r="14">
      <c r="A14" t="inlineStr">
        <is>
          <t>Cash genuinely ours</t>
        </is>
      </c>
      <c r="B14" s="16">
        <f>INDEX('BALANCE SHEET'!$C$29:$N$29,TvA!$B$4)</f>
        <v/>
      </c>
      <c r="D14" s="3" t="inlineStr">
        <is>
          <t>Excludes refundable deposits</t>
        </is>
      </c>
    </row>
    <row r="15">
      <c r="A15" t="inlineStr">
        <is>
          <t>Minimum cash floor (policy)</t>
        </is>
      </c>
      <c r="B15" s="16">
        <f>SETUP!$B$41</f>
        <v/>
      </c>
      <c r="D15" s="3" t="inlineStr"/>
    </row>
    <row r="16">
      <c r="A16" t="inlineStr">
        <is>
          <t>Lowest projected cash point</t>
        </is>
      </c>
      <c r="B16" s="16" t="n">
        <v>17548449</v>
      </c>
      <c r="D16" s="3" t="inlineStr">
        <is>
          <t>Month 1 of the plan. No facility behind it.</t>
        </is>
      </c>
    </row>
    <row r="17">
      <c r="A17" t="inlineStr">
        <is>
          <t>Cash conversion cycle</t>
        </is>
      </c>
      <c r="B17" s="29" t="n"/>
      <c r="D17" s="3" t="inlineStr">
        <is>
          <t>Plan: 3 days. Inventory only.</t>
        </is>
      </c>
    </row>
    <row r="19">
      <c r="A19" s="4" t="inlineStr">
        <is>
          <t>WHAT WE WOULD PLEDGE, AND WHAT WE WOULD NOT</t>
        </is>
      </c>
      <c r="B19" s="5" t="n"/>
      <c r="C19" s="5" t="n"/>
      <c r="D19" s="5" t="n"/>
    </row>
    <row r="20">
      <c r="A20" t="inlineStr">
        <is>
          <t>Plant and equipment at cost</t>
        </is>
      </c>
      <c r="B20" s="15" t="n">
        <v>315000000</v>
      </c>
    </row>
    <row r="21">
      <c r="A21" s="2" t="inlineStr">
        <is>
          <t>Customer deposits — NOT available as security</t>
        </is>
      </c>
      <c r="B21" s="15">
        <f>INDEX('BALANCE SHEET'!$C$15:$N$15,TvA!$B$4)</f>
        <v/>
      </c>
      <c r="D21" s="3" t="inlineStr">
        <is>
          <t>It is customers' money. Never offer it as headroom.</t>
        </is>
      </c>
    </row>
    <row r="23">
      <c r="A23" s="3" t="inlineStr">
        <is>
          <t>A lender will ask what happens at 60% of plan. The answer lives in the one-site model's scenario cell — bring it, do not wait to be asked.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52" customWidth="1" min="1" max="1"/>
    <col width="24" customWidth="1" min="2" max="2"/>
    <col width="24" customWidth="1" min="3" max="3"/>
    <col width="60" customWidth="1" min="4" max="4"/>
  </cols>
  <sheetData>
    <row r="1">
      <c r="A1" s="1" t="inlineStr">
        <is>
          <t>GROWTH</t>
        </is>
      </c>
    </row>
    <row r="2">
      <c r="A2" s="2" t="inlineStr">
        <is>
          <t>READER: Sammy, co-founders, and anyone funding the next site</t>
        </is>
      </c>
    </row>
    <row r="3">
      <c r="A3" s="3" t="inlineStr">
        <is>
          <t>THEY ARE GRADING YOU ON: Whether the next step is earned or merely wanted</t>
        </is>
      </c>
    </row>
    <row r="4">
      <c r="A4" s="3" t="inlineStr">
        <is>
          <t>Renew's structural question: is the hiring step-up plus the expansion affordable given the ramp? The fix here is not a timing trick — it is a decision about pace.</t>
        </is>
      </c>
    </row>
    <row r="6">
      <c r="A6" s="4" t="inlineStr">
        <is>
          <t>IS SITE 1 EARNING THE RIGHT TO A SITE 2?</t>
        </is>
      </c>
      <c r="B6" s="5" t="n"/>
      <c r="C6" s="5" t="n"/>
      <c r="D6" s="5" t="n"/>
    </row>
    <row r="7">
      <c r="A7" t="inlineStr">
        <is>
          <t>Capacity utilisation</t>
        </is>
      </c>
      <c r="B7" s="22" t="n"/>
      <c r="D7" s="3" t="inlineStr">
        <is>
          <t>Actual jars/day against 2,000/day capacity</t>
        </is>
      </c>
    </row>
    <row r="8">
      <c r="A8" t="inlineStr">
        <is>
          <t>Months at or above full break-even</t>
        </is>
      </c>
      <c r="B8" s="26" t="n"/>
      <c r="D8" s="3" t="inlineStr">
        <is>
          <t>Renew would want several consecutive</t>
        </is>
      </c>
    </row>
    <row r="9">
      <c r="A9" t="inlineStr">
        <is>
          <t>Cash genuinely ours</t>
        </is>
      </c>
      <c r="B9" s="16">
        <f>INDEX('BALANCE SHEET'!$C$29:$N$29,TvA!$B$4)</f>
        <v/>
      </c>
      <c r="D9" s="3" t="inlineStr">
        <is>
          <t>The only cash that can fund anything</t>
        </is>
      </c>
    </row>
    <row r="10">
      <c r="A10" t="inlineStr">
        <is>
          <t>Gross margin trend</t>
        </is>
      </c>
      <c r="B10" s="22" t="n"/>
      <c r="D10" s="3" t="inlineStr">
        <is>
          <t>Plan: rising every month as mix shifts to refill</t>
        </is>
      </c>
    </row>
    <row r="12">
      <c r="A12" s="4" t="inlineStr">
        <is>
          <t>THE CUSTOMER ENGINE — mostly unmeasured, and that is the problem</t>
        </is>
      </c>
      <c r="B12" s="5" t="n"/>
      <c r="C12" s="5" t="n"/>
      <c r="D12" s="5" t="n"/>
    </row>
    <row r="13">
      <c r="A13" t="inlineStr">
        <is>
          <t>New jar customers this month</t>
        </is>
      </c>
      <c r="B13" s="26" t="n"/>
      <c r="D13" s="3" t="inlineStr">
        <is>
          <t>Plan assumes 750 every month, flat, forever</t>
        </is>
      </c>
    </row>
    <row r="14">
      <c r="A14" t="inlineStr">
        <is>
          <t>Jar customers lost (churn)</t>
        </is>
      </c>
      <c r="B14" s="26" t="n"/>
      <c r="D14" s="3" t="inlineStr">
        <is>
          <t>GAP-20 — NOT MODELLED</t>
        </is>
      </c>
    </row>
    <row r="15">
      <c r="A15" t="inlineStr">
        <is>
          <t>Cost to acquire one jar customer</t>
        </is>
      </c>
      <c r="B15" s="16" t="n"/>
      <c r="D15" s="3" t="inlineStr">
        <is>
          <t>GAP-18 — NOT MODELLED. No marketing line exists.</t>
        </is>
      </c>
    </row>
    <row r="16">
      <c r="A16" t="inlineStr">
        <is>
          <t>Revenue per jar customer per month</t>
        </is>
      </c>
      <c r="B16" s="16" t="n"/>
      <c r="D16" s="3" t="inlineStr"/>
    </row>
    <row r="17">
      <c r="A17" t="inlineStr">
        <is>
          <t>Lifetime value per jar customer</t>
        </is>
      </c>
      <c r="B17" s="16" t="n"/>
      <c r="D17" s="3" t="inlineStr">
        <is>
          <t>Needs churn first</t>
        </is>
      </c>
    </row>
    <row r="19">
      <c r="A19" s="4" t="inlineStr">
        <is>
          <t>THE DECISION GATES</t>
        </is>
      </c>
      <c r="B19" s="5" t="n"/>
      <c r="C19" s="5" t="n"/>
      <c r="D19" s="5" t="n"/>
    </row>
    <row r="20">
      <c r="A20" t="inlineStr">
        <is>
          <t>AP/AR clerk</t>
        </is>
      </c>
      <c r="B20" s="2" t="inlineStr">
        <is>
          <t>650 jars/day — pays for itself on input VAT recovery alone</t>
        </is>
      </c>
    </row>
    <row r="21">
      <c r="A21" t="inlineStr">
        <is>
          <t>Accounting / Finance Manager</t>
        </is>
      </c>
      <c r="B21" s="2" t="inlineStr">
        <is>
          <t>950 jars/day</t>
        </is>
      </c>
    </row>
    <row r="22">
      <c r="A22" t="inlineStr">
        <is>
          <t>GL Accountant</t>
        </is>
      </c>
      <c r="B22" s="2" t="inlineStr">
        <is>
          <t>1,400 jars/day</t>
        </is>
      </c>
    </row>
    <row r="23">
      <c r="A23" t="inlineStr">
        <is>
          <t>Financial Controller</t>
        </is>
      </c>
      <c r="B23" s="2" t="inlineStr">
        <is>
          <t>Site 2 committed</t>
        </is>
      </c>
    </row>
    <row r="24">
      <c r="A24" t="inlineStr">
        <is>
          <t>CFO as a real seat</t>
        </is>
      </c>
      <c r="B24" s="2" t="inlineStr">
        <is>
          <t>Site 3, or a raise closed — when there is a board and a cap table to serve</t>
        </is>
      </c>
    </row>
    <row r="26">
      <c r="A26" s="3" t="inlineStr">
        <is>
          <t>The hiring step at month 5 costs 72,600,000 UGX of cash over thirteen months. Toggle it in the one-site model and read the difference before committing.</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22" customWidth="1" min="2" max="2"/>
    <col width="26" customWidth="1" min="3" max="3"/>
    <col width="62" customWidth="1" min="4" max="4"/>
  </cols>
  <sheetData>
    <row r="1">
      <c r="A1" s="1" t="inlineStr">
        <is>
          <t>ACCESS — who runs it, who sees what</t>
        </is>
      </c>
    </row>
    <row r="2">
      <c r="A2" s="3" t="inlineStr">
        <is>
          <t>Renew best practice #2: group users of financial reports by role. It protects data privacy and keeps one version of the truth.</t>
        </is>
      </c>
    </row>
    <row r="4">
      <c r="A4" s="11" t="inlineStr">
        <is>
          <t>Who</t>
        </is>
      </c>
      <c r="B4" s="11" t="inlineStr">
        <is>
          <t>Access level</t>
        </is>
      </c>
      <c r="C4" s="11" t="inlineStr">
        <is>
          <t>Sees</t>
        </is>
      </c>
      <c r="D4" s="11" t="inlineStr">
        <is>
          <t>Notes</t>
        </is>
      </c>
    </row>
    <row r="5">
      <c r="A5" t="inlineStr">
        <is>
          <t>Sammy (founder / acting CFO)</t>
        </is>
      </c>
      <c r="B5" t="inlineStr">
        <is>
          <t>OWNER — edit all</t>
        </is>
      </c>
      <c r="C5" t="inlineStr">
        <is>
          <t>Everything</t>
        </is>
      </c>
      <c r="D5" t="inlineStr">
        <is>
          <t>Runs it. Owns the close, the Monday forecast and every view.</t>
        </is>
      </c>
    </row>
    <row r="6">
      <c r="A6" t="inlineStr">
        <is>
          <t>Co-founder(s)</t>
        </is>
      </c>
      <c r="B6" t="inlineStr">
        <is>
          <t>Edit</t>
        </is>
      </c>
      <c r="C6" t="inlineStr">
        <is>
          <t>Everything</t>
        </is>
      </c>
      <c r="D6" t="inlineStr">
        <is>
          <t>Same visibility as the CFO. No filtered version between founders.</t>
        </is>
      </c>
    </row>
    <row r="7">
      <c r="A7" t="inlineStr">
        <is>
          <t>AP/AR clerk (from 650 jars/day)</t>
        </is>
      </c>
      <c r="B7" t="inlineStr">
        <is>
          <t>Edit JOURNAL only</t>
        </is>
      </c>
      <c r="C7" t="inlineStr">
        <is>
          <t>JOURNAL, COST BOOK</t>
        </is>
      </c>
      <c r="D7" t="inlineStr">
        <is>
          <t>Daily entry. Cannot change SETUP, BUDGET or any view.</t>
        </is>
      </c>
    </row>
    <row r="8">
      <c r="A8" t="inlineStr">
        <is>
          <t>Accountant / bookkeeper</t>
        </is>
      </c>
      <c r="B8" t="inlineStr">
        <is>
          <t>Edit JOURNAL + COA</t>
        </is>
      </c>
      <c r="C8" t="inlineStr">
        <is>
          <t>Input layer, P&amp;L, BS</t>
        </is>
      </c>
      <c r="D8" t="inlineStr">
        <is>
          <t>Second pair of eyes. Our only real compensating control.</t>
        </is>
      </c>
    </row>
    <row r="9">
      <c r="A9" t="inlineStr">
        <is>
          <t>Auditor (once appointed)</t>
        </is>
      </c>
      <c r="B9" t="inlineStr">
        <is>
          <t>Comment</t>
        </is>
      </c>
      <c r="C9" t="inlineStr">
        <is>
          <t>Everything</t>
        </is>
      </c>
      <c r="D9" t="inlineStr">
        <is>
          <t>GAP-17 — not appointed yet</t>
        </is>
      </c>
    </row>
    <row r="10">
      <c r="A10" t="inlineStr">
        <is>
          <t>Investors</t>
        </is>
      </c>
      <c r="B10" t="inlineStr">
        <is>
          <t>VIEW ONLY link</t>
        </is>
      </c>
      <c r="C10" t="inlineStr">
        <is>
          <t>VIEW · INVESTORS</t>
        </is>
      </c>
      <c r="D10" t="inlineStr">
        <is>
          <t>Never share the whole file. Share the view.</t>
        </is>
      </c>
    </row>
    <row r="11">
      <c r="A11" t="inlineStr">
        <is>
          <t>Lenders / partners</t>
        </is>
      </c>
      <c r="B11" t="inlineStr">
        <is>
          <t>VIEW ONLY link</t>
        </is>
      </c>
      <c r="C11" t="inlineStr">
        <is>
          <t>VIEW · LENDERS</t>
        </is>
      </c>
      <c r="D11" t="inlineStr">
        <is>
          <t>Same rule.</t>
        </is>
      </c>
    </row>
    <row r="12">
      <c r="A12" t="inlineStr">
        <is>
          <t>Tax advisor / URA</t>
        </is>
      </c>
      <c r="B12" t="inlineStr">
        <is>
          <t>VIEW ONLY link</t>
        </is>
      </c>
      <c r="C12" t="inlineStr">
        <is>
          <t>VIEW · TAX (URA)</t>
        </is>
      </c>
      <c r="D12" t="inlineStr">
        <is>
          <t>Plus source documents on request.</t>
        </is>
      </c>
    </row>
    <row r="13">
      <c r="A13" t="inlineStr">
        <is>
          <t>Plant and route staff</t>
        </is>
      </c>
      <c r="B13" t="inlineStr">
        <is>
          <t>VIEW ONLY link</t>
        </is>
      </c>
      <c r="C13" t="inlineStr">
        <is>
          <t>VIEW · INTERNAL</t>
        </is>
      </c>
      <c r="D13" t="inlineStr">
        <is>
          <t>The break-even number should be on the wall.</t>
        </is>
      </c>
    </row>
    <row r="15">
      <c r="A15" s="3" t="inlineStr">
        <is>
          <t>THE RULE: outsiders get a link to ONE TAB, never to the file.</t>
        </is>
      </c>
    </row>
    <row r="16">
      <c r="A16" s="3" t="inlineStr">
        <is>
          <t>In Google Sheets: File &gt; Share &gt; publish or share a single sheet, or copy the view into a separate shared file that pulls from here with IMPORTRANGE.</t>
        </is>
      </c>
    </row>
    <row r="17">
      <c r="A17" s="3" t="inlineStr">
        <is>
          <t>Nobody edits a view. If a view is wrong, the JOURNAL is wrong — fix it there.</t>
        </is>
      </c>
    </row>
    <row r="18">
      <c r="A18" s="3" t="inlineStr">
        <is>
          <t>One person owns the close. Today that is Sammy. When the AP/AR clerk arrives, entry moves; ownership does not.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33"/>
  <sheetViews>
    <sheetView workbookViewId="0">
      <pane xSplit="2" topLeftCell="C1" activePane="topRight" state="frozen"/>
      <selection pane="topRight" activeCell="A1" sqref="A1"/>
    </sheetView>
  </sheetViews>
  <sheetFormatPr baseColWidth="8" defaultRowHeight="15"/>
  <cols>
    <col width="4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6" customWidth="1" min="16" max="16"/>
  </cols>
  <sheetData>
    <row r="1">
      <c r="A1" s="1" t="inlineStr">
        <is>
          <t>13-WEEK ROLLING CASH FORECAST</t>
        </is>
      </c>
    </row>
    <row r="2">
      <c r="A2" s="3" t="inlineStr">
        <is>
          <t>THE STANDING RULE: every Monday morning once we are selling, roll this forward one week and type what you actually expect. Then read the ALARM row.</t>
        </is>
      </c>
    </row>
    <row r="4">
      <c r="A4" s="2" t="inlineStr">
        <is>
          <t>Week commencing</t>
        </is>
      </c>
      <c r="C4" s="30">
        <f>SETUP!$B$8+0</f>
        <v/>
      </c>
      <c r="D4" s="30">
        <f>SETUP!$B$8+7</f>
        <v/>
      </c>
      <c r="E4" s="30">
        <f>SETUP!$B$8+14</f>
        <v/>
      </c>
      <c r="F4" s="30">
        <f>SETUP!$B$8+21</f>
        <v/>
      </c>
      <c r="G4" s="30">
        <f>SETUP!$B$8+28</f>
        <v/>
      </c>
      <c r="H4" s="30">
        <f>SETUP!$B$8+35</f>
        <v/>
      </c>
      <c r="I4" s="30">
        <f>SETUP!$B$8+42</f>
        <v/>
      </c>
      <c r="J4" s="30">
        <f>SETUP!$B$8+49</f>
        <v/>
      </c>
      <c r="K4" s="30">
        <f>SETUP!$B$8+56</f>
        <v/>
      </c>
      <c r="L4" s="30">
        <f>SETUP!$B$8+63</f>
        <v/>
      </c>
      <c r="M4" s="30">
        <f>SETUP!$B$8+70</f>
        <v/>
      </c>
      <c r="N4" s="30">
        <f>SETUP!$B$8+77</f>
        <v/>
      </c>
      <c r="O4" s="30">
        <f>SETUP!$B$8+84</f>
        <v/>
      </c>
      <c r="P4" s="2" t="inlineStr">
        <is>
          <t>13-WK TOTAL</t>
        </is>
      </c>
    </row>
    <row r="5">
      <c r="A5" s="2" t="inlineStr">
        <is>
          <t>OPENING CASH</t>
        </is>
      </c>
      <c r="C5" s="16">
        <f>SETUP!$B$28</f>
        <v/>
      </c>
      <c r="D5" s="16">
        <f>C25</f>
        <v/>
      </c>
      <c r="E5" s="16">
        <f>D25</f>
        <v/>
      </c>
      <c r="F5" s="16">
        <f>E25</f>
        <v/>
      </c>
      <c r="G5" s="16">
        <f>F25</f>
        <v/>
      </c>
      <c r="H5" s="16">
        <f>G25</f>
        <v/>
      </c>
      <c r="I5" s="16">
        <f>H25</f>
        <v/>
      </c>
      <c r="J5" s="16">
        <f>I25</f>
        <v/>
      </c>
      <c r="K5" s="16">
        <f>J25</f>
        <v/>
      </c>
      <c r="L5" s="16">
        <f>K25</f>
        <v/>
      </c>
      <c r="M5" s="16">
        <f>L25</f>
        <v/>
      </c>
      <c r="N5" s="16">
        <f>M25</f>
        <v/>
      </c>
      <c r="O5" s="16">
        <f>N25</f>
        <v/>
      </c>
    </row>
    <row r="6">
      <c r="A6" s="4" t="inlineStr">
        <is>
          <t>RECEIPTS</t>
        </is>
      </c>
      <c r="B6" s="5" t="n"/>
      <c r="C6" s="5" t="n"/>
      <c r="D6" s="5" t="n"/>
      <c r="E6" s="5" t="n"/>
      <c r="F6" s="5" t="n"/>
      <c r="G6" s="5" t="n"/>
      <c r="H6" s="5" t="n"/>
      <c r="I6" s="5" t="n"/>
      <c r="J6" s="5" t="n"/>
      <c r="K6" s="5" t="n"/>
      <c r="L6" s="5" t="n"/>
      <c r="M6" s="5" t="n"/>
      <c r="N6" s="5" t="n"/>
      <c r="O6" s="5" t="n"/>
      <c r="P6" s="5" t="n"/>
    </row>
    <row r="7">
      <c r="A7" t="inlineStr">
        <is>
          <t>Cash sales — refill and single-use</t>
        </is>
      </c>
      <c r="C7" s="10" t="n"/>
      <c r="D7" s="10" t="n"/>
      <c r="E7" s="10" t="n"/>
      <c r="F7" s="10" t="n"/>
      <c r="G7" s="10" t="n"/>
      <c r="H7" s="10" t="n"/>
      <c r="I7" s="10" t="n"/>
      <c r="J7" s="10" t="n"/>
      <c r="K7" s="10" t="n"/>
      <c r="L7" s="10" t="n"/>
      <c r="M7" s="10" t="n"/>
      <c r="N7" s="10" t="n"/>
      <c r="O7" s="10" t="n"/>
      <c r="P7" s="16">
        <f>SUM(C7:O7)</f>
        <v/>
      </c>
    </row>
    <row r="8">
      <c r="A8" t="inlineStr">
        <is>
          <t>Jar deposits received</t>
        </is>
      </c>
      <c r="C8" s="10" t="n"/>
      <c r="D8" s="10" t="n"/>
      <c r="E8" s="10" t="n"/>
      <c r="F8" s="10" t="n"/>
      <c r="G8" s="10" t="n"/>
      <c r="H8" s="10" t="n"/>
      <c r="I8" s="10" t="n"/>
      <c r="J8" s="10" t="n"/>
      <c r="K8" s="10" t="n"/>
      <c r="L8" s="10" t="n"/>
      <c r="M8" s="10" t="n"/>
      <c r="N8" s="10" t="n"/>
      <c r="O8" s="10" t="n"/>
      <c r="P8" s="16">
        <f>SUM(C8:O8)</f>
        <v/>
      </c>
    </row>
    <row r="9">
      <c r="A9" t="inlineStr">
        <is>
          <t>Input VAT refunds from URA</t>
        </is>
      </c>
      <c r="C9" s="10" t="n"/>
      <c r="D9" s="10" t="n"/>
      <c r="E9" s="10" t="n"/>
      <c r="F9" s="10" t="n"/>
      <c r="G9" s="10" t="n"/>
      <c r="H9" s="10" t="n"/>
      <c r="I9" s="10" t="n"/>
      <c r="J9" s="10" t="n"/>
      <c r="K9" s="10" t="n"/>
      <c r="L9" s="10" t="n"/>
      <c r="M9" s="10" t="n"/>
      <c r="N9" s="10" t="n"/>
      <c r="O9" s="10" t="n"/>
      <c r="P9" s="16">
        <f>SUM(C9:O9)</f>
        <v/>
      </c>
    </row>
    <row r="10">
      <c r="A10" t="inlineStr">
        <is>
          <t>Other receipts / financing</t>
        </is>
      </c>
      <c r="C10" s="10" t="n"/>
      <c r="D10" s="10" t="n"/>
      <c r="E10" s="10" t="n"/>
      <c r="F10" s="10" t="n"/>
      <c r="G10" s="10" t="n"/>
      <c r="H10" s="10" t="n"/>
      <c r="I10" s="10" t="n"/>
      <c r="J10" s="10" t="n"/>
      <c r="K10" s="10" t="n"/>
      <c r="L10" s="10" t="n"/>
      <c r="M10" s="10" t="n"/>
      <c r="N10" s="10" t="n"/>
      <c r="O10" s="10" t="n"/>
      <c r="P10" s="16">
        <f>SUM(C10:O10)</f>
        <v/>
      </c>
    </row>
    <row r="11">
      <c r="A11" s="2" t="inlineStr">
        <is>
          <t>TOTAL RECEIPTS</t>
        </is>
      </c>
      <c r="C11" s="16">
        <f>SUM(C7:C10)</f>
        <v/>
      </c>
      <c r="D11" s="16">
        <f>SUM(D7:D10)</f>
        <v/>
      </c>
      <c r="E11" s="16">
        <f>SUM(E7:E10)</f>
        <v/>
      </c>
      <c r="F11" s="16">
        <f>SUM(F7:F10)</f>
        <v/>
      </c>
      <c r="G11" s="16">
        <f>SUM(G7:G10)</f>
        <v/>
      </c>
      <c r="H11" s="16">
        <f>SUM(H7:H10)</f>
        <v/>
      </c>
      <c r="I11" s="16">
        <f>SUM(I7:I10)</f>
        <v/>
      </c>
      <c r="J11" s="16">
        <f>SUM(J7:J10)</f>
        <v/>
      </c>
      <c r="K11" s="16">
        <f>SUM(K7:K10)</f>
        <v/>
      </c>
      <c r="L11" s="16">
        <f>SUM(L7:L10)</f>
        <v/>
      </c>
      <c r="M11" s="16">
        <f>SUM(M7:M10)</f>
        <v/>
      </c>
      <c r="N11" s="16">
        <f>SUM(N7:N10)</f>
        <v/>
      </c>
      <c r="O11" s="16">
        <f>SUM(O7:O10)</f>
        <v/>
      </c>
      <c r="P11" s="16">
        <f>SUM(C11:O11)</f>
        <v/>
      </c>
    </row>
    <row r="12">
      <c r="A12" s="4" t="inlineStr">
        <is>
          <t>PAYMENTS</t>
        </is>
      </c>
      <c r="B12" s="5" t="n"/>
      <c r="C12" s="5" t="n"/>
      <c r="D12" s="5" t="n"/>
      <c r="E12" s="5" t="n"/>
      <c r="F12" s="5" t="n"/>
      <c r="G12" s="5" t="n"/>
      <c r="H12" s="5" t="n"/>
      <c r="I12" s="5" t="n"/>
      <c r="J12" s="5" t="n"/>
      <c r="K12" s="5" t="n"/>
      <c r="L12" s="5" t="n"/>
      <c r="M12" s="5" t="n"/>
      <c r="N12" s="5" t="n"/>
      <c r="O12" s="5" t="n"/>
      <c r="P12" s="5" t="n"/>
    </row>
    <row r="13">
      <c r="A13" t="inlineStr">
        <is>
          <t>Raw materials and packaging</t>
        </is>
      </c>
      <c r="C13" s="10" t="n"/>
      <c r="D13" s="10" t="n"/>
      <c r="E13" s="10" t="n"/>
      <c r="F13" s="10" t="n"/>
      <c r="G13" s="10" t="n"/>
      <c r="H13" s="10" t="n"/>
      <c r="I13" s="10" t="n"/>
      <c r="J13" s="10" t="n"/>
      <c r="K13" s="10" t="n"/>
      <c r="L13" s="10" t="n"/>
      <c r="M13" s="10" t="n"/>
      <c r="N13" s="10" t="n"/>
      <c r="O13" s="10" t="n"/>
      <c r="P13" s="16">
        <f>SUM(C13:O13)</f>
        <v/>
      </c>
    </row>
    <row r="14">
      <c r="A14" t="inlineStr">
        <is>
          <t>Jar purchases</t>
        </is>
      </c>
      <c r="C14" s="10" t="n"/>
      <c r="D14" s="10" t="n"/>
      <c r="E14" s="10" t="n"/>
      <c r="F14" s="10" t="n"/>
      <c r="G14" s="10" t="n"/>
      <c r="H14" s="10" t="n"/>
      <c r="I14" s="10" t="n"/>
      <c r="J14" s="10" t="n"/>
      <c r="K14" s="10" t="n"/>
      <c r="L14" s="10" t="n"/>
      <c r="M14" s="10" t="n"/>
      <c r="N14" s="10" t="n"/>
      <c r="O14" s="10" t="n"/>
      <c r="P14" s="16">
        <f>SUM(C14:O14)</f>
        <v/>
      </c>
    </row>
    <row r="15">
      <c r="A15" t="inlineStr">
        <is>
          <t>Salaries, PAYE and NSSF</t>
        </is>
      </c>
      <c r="C15" s="10" t="n"/>
      <c r="D15" s="10" t="n"/>
      <c r="E15" s="10" t="n"/>
      <c r="F15" s="10" t="n"/>
      <c r="G15" s="10" t="n"/>
      <c r="H15" s="10" t="n"/>
      <c r="I15" s="10" t="n"/>
      <c r="J15" s="10" t="n"/>
      <c r="K15" s="10" t="n"/>
      <c r="L15" s="10" t="n"/>
      <c r="M15" s="10" t="n"/>
      <c r="N15" s="10" t="n"/>
      <c r="O15" s="10" t="n"/>
      <c r="P15" s="16">
        <f>SUM(C15:O15)</f>
        <v/>
      </c>
    </row>
    <row r="16">
      <c r="A16" t="inlineStr">
        <is>
          <t>Rent, power, security, other overheads</t>
        </is>
      </c>
      <c r="C16" s="10" t="n"/>
      <c r="D16" s="10" t="n"/>
      <c r="E16" s="10" t="n"/>
      <c r="F16" s="10" t="n"/>
      <c r="G16" s="10" t="n"/>
      <c r="H16" s="10" t="n"/>
      <c r="I16" s="10" t="n"/>
      <c r="J16" s="10" t="n"/>
      <c r="K16" s="10" t="n"/>
      <c r="L16" s="10" t="n"/>
      <c r="M16" s="10" t="n"/>
      <c r="N16" s="10" t="n"/>
      <c r="O16" s="10" t="n"/>
      <c r="P16" s="16">
        <f>SUM(C16:O16)</f>
        <v/>
      </c>
    </row>
    <row r="17">
      <c r="A17" t="inlineStr">
        <is>
          <t>Delivery and fuel</t>
        </is>
      </c>
      <c r="C17" s="10" t="n"/>
      <c r="D17" s="10" t="n"/>
      <c r="E17" s="10" t="n"/>
      <c r="F17" s="10" t="n"/>
      <c r="G17" s="10" t="n"/>
      <c r="H17" s="10" t="n"/>
      <c r="I17" s="10" t="n"/>
      <c r="J17" s="10" t="n"/>
      <c r="K17" s="10" t="n"/>
      <c r="L17" s="10" t="n"/>
      <c r="M17" s="10" t="n"/>
      <c r="N17" s="10" t="n"/>
      <c r="O17" s="10" t="n"/>
      <c r="P17" s="16">
        <f>SUM(C17:O17)</f>
        <v/>
      </c>
    </row>
    <row r="18">
      <c r="A18" t="inlineStr">
        <is>
          <t>URA — VAT and excise</t>
        </is>
      </c>
      <c r="C18" s="10" t="n"/>
      <c r="D18" s="10" t="n"/>
      <c r="E18" s="10" t="n"/>
      <c r="F18" s="10" t="n"/>
      <c r="G18" s="10" t="n"/>
      <c r="H18" s="10" t="n"/>
      <c r="I18" s="10" t="n"/>
      <c r="J18" s="10" t="n"/>
      <c r="K18" s="10" t="n"/>
      <c r="L18" s="10" t="n"/>
      <c r="M18" s="10" t="n"/>
      <c r="N18" s="10" t="n"/>
      <c r="O18" s="10" t="n"/>
      <c r="P18" s="16">
        <f>SUM(C18:O18)</f>
        <v/>
      </c>
    </row>
    <row r="19">
      <c r="A19" t="inlineStr">
        <is>
          <t>URA — corporate tax</t>
        </is>
      </c>
      <c r="C19" s="10" t="n"/>
      <c r="D19" s="10" t="n"/>
      <c r="E19" s="10" t="n"/>
      <c r="F19" s="10" t="n"/>
      <c r="G19" s="10" t="n"/>
      <c r="H19" s="10" t="n"/>
      <c r="I19" s="10" t="n"/>
      <c r="J19" s="10" t="n"/>
      <c r="K19" s="10" t="n"/>
      <c r="L19" s="10" t="n"/>
      <c r="M19" s="10" t="n"/>
      <c r="N19" s="10" t="n"/>
      <c r="O19" s="10" t="n"/>
      <c r="P19" s="16">
        <f>SUM(C19:O19)</f>
        <v/>
      </c>
    </row>
    <row r="20">
      <c r="A20" t="inlineStr">
        <is>
          <t>Jar deposit REFUNDS</t>
        </is>
      </c>
      <c r="C20" s="10" t="n"/>
      <c r="D20" s="10" t="n"/>
      <c r="E20" s="10" t="n"/>
      <c r="F20" s="10" t="n"/>
      <c r="G20" s="10" t="n"/>
      <c r="H20" s="10" t="n"/>
      <c r="I20" s="10" t="n"/>
      <c r="J20" s="10" t="n"/>
      <c r="K20" s="10" t="n"/>
      <c r="L20" s="10" t="n"/>
      <c r="M20" s="10" t="n"/>
      <c r="N20" s="10" t="n"/>
      <c r="O20" s="10" t="n"/>
      <c r="P20" s="16">
        <f>SUM(C20:O20)</f>
        <v/>
      </c>
    </row>
    <row r="21">
      <c r="A21" t="inlineStr">
        <is>
          <t>Capex and other</t>
        </is>
      </c>
      <c r="C21" s="10" t="n"/>
      <c r="D21" s="10" t="n"/>
      <c r="E21" s="10" t="n"/>
      <c r="F21" s="10" t="n"/>
      <c r="G21" s="10" t="n"/>
      <c r="H21" s="10" t="n"/>
      <c r="I21" s="10" t="n"/>
      <c r="J21" s="10" t="n"/>
      <c r="K21" s="10" t="n"/>
      <c r="L21" s="10" t="n"/>
      <c r="M21" s="10" t="n"/>
      <c r="N21" s="10" t="n"/>
      <c r="O21" s="10" t="n"/>
      <c r="P21" s="16">
        <f>SUM(C21:O21)</f>
        <v/>
      </c>
    </row>
    <row r="22">
      <c r="A22" s="2" t="inlineStr">
        <is>
          <t>TOTAL PAYMENTS</t>
        </is>
      </c>
      <c r="C22" s="16">
        <f>SUM(C13:C21)</f>
        <v/>
      </c>
      <c r="D22" s="16">
        <f>SUM(D13:D21)</f>
        <v/>
      </c>
      <c r="E22" s="16">
        <f>SUM(E13:E21)</f>
        <v/>
      </c>
      <c r="F22" s="16">
        <f>SUM(F13:F21)</f>
        <v/>
      </c>
      <c r="G22" s="16">
        <f>SUM(G13:G21)</f>
        <v/>
      </c>
      <c r="H22" s="16">
        <f>SUM(H13:H21)</f>
        <v/>
      </c>
      <c r="I22" s="16">
        <f>SUM(I13:I21)</f>
        <v/>
      </c>
      <c r="J22" s="16">
        <f>SUM(J13:J21)</f>
        <v/>
      </c>
      <c r="K22" s="16">
        <f>SUM(K13:K21)</f>
        <v/>
      </c>
      <c r="L22" s="16">
        <f>SUM(L13:L21)</f>
        <v/>
      </c>
      <c r="M22" s="16">
        <f>SUM(M13:M21)</f>
        <v/>
      </c>
      <c r="N22" s="16">
        <f>SUM(N13:N21)</f>
        <v/>
      </c>
      <c r="O22" s="16">
        <f>SUM(O13:O21)</f>
        <v/>
      </c>
      <c r="P22" s="16">
        <f>SUM(C22:O22)</f>
        <v/>
      </c>
    </row>
    <row r="24">
      <c r="A24" s="2" t="inlineStr">
        <is>
          <t>NET MOVEMENT</t>
        </is>
      </c>
      <c r="C24" s="16">
        <f>C11-C22</f>
        <v/>
      </c>
      <c r="D24" s="16">
        <f>D11-D22</f>
        <v/>
      </c>
      <c r="E24" s="16">
        <f>E11-E22</f>
        <v/>
      </c>
      <c r="F24" s="16">
        <f>F11-F22</f>
        <v/>
      </c>
      <c r="G24" s="16">
        <f>G11-G22</f>
        <v/>
      </c>
      <c r="H24" s="16">
        <f>H11-H22</f>
        <v/>
      </c>
      <c r="I24" s="16">
        <f>I11-I22</f>
        <v/>
      </c>
      <c r="J24" s="16">
        <f>J11-J22</f>
        <v/>
      </c>
      <c r="K24" s="16">
        <f>K11-K22</f>
        <v/>
      </c>
      <c r="L24" s="16">
        <f>L11-L22</f>
        <v/>
      </c>
      <c r="M24" s="16">
        <f>M11-M22</f>
        <v/>
      </c>
      <c r="N24" s="16">
        <f>N11-N22</f>
        <v/>
      </c>
      <c r="O24" s="16">
        <f>O11-O22</f>
        <v/>
      </c>
      <c r="P24" s="16">
        <f>SUM(C24:O24)</f>
        <v/>
      </c>
    </row>
    <row r="25">
      <c r="A25" s="2" t="inlineStr">
        <is>
          <t>CLOSING CASH</t>
        </is>
      </c>
      <c r="C25" s="20">
        <f>C5+C24</f>
        <v/>
      </c>
      <c r="D25" s="20">
        <f>D5+D24</f>
        <v/>
      </c>
      <c r="E25" s="20">
        <f>E5+E24</f>
        <v/>
      </c>
      <c r="F25" s="20">
        <f>F5+F24</f>
        <v/>
      </c>
      <c r="G25" s="20">
        <f>G5+G24</f>
        <v/>
      </c>
      <c r="H25" s="20">
        <f>H5+H24</f>
        <v/>
      </c>
      <c r="I25" s="20">
        <f>I5+I24</f>
        <v/>
      </c>
      <c r="J25" s="20">
        <f>J5+J24</f>
        <v/>
      </c>
      <c r="K25" s="20">
        <f>K5+K24</f>
        <v/>
      </c>
      <c r="L25" s="20">
        <f>L5+L24</f>
        <v/>
      </c>
      <c r="M25" s="20">
        <f>M5+M24</f>
        <v/>
      </c>
      <c r="N25" s="20">
        <f>N5+N24</f>
        <v/>
      </c>
      <c r="O25" s="20">
        <f>O5+O24</f>
        <v/>
      </c>
    </row>
    <row r="26">
      <c r="A26" t="inlineStr">
        <is>
          <t>Minimum cash floor</t>
        </is>
      </c>
      <c r="C26" s="15">
        <f>SETUP!$B$41</f>
        <v/>
      </c>
      <c r="D26" s="15">
        <f>SETUP!$B$41</f>
        <v/>
      </c>
      <c r="E26" s="15">
        <f>SETUP!$B$41</f>
        <v/>
      </c>
      <c r="F26" s="15">
        <f>SETUP!$B$41</f>
        <v/>
      </c>
      <c r="G26" s="15">
        <f>SETUP!$B$41</f>
        <v/>
      </c>
      <c r="H26" s="15">
        <f>SETUP!$B$41</f>
        <v/>
      </c>
      <c r="I26" s="15">
        <f>SETUP!$B$41</f>
        <v/>
      </c>
      <c r="J26" s="15">
        <f>SETUP!$B$41</f>
        <v/>
      </c>
      <c r="K26" s="15">
        <f>SETUP!$B$41</f>
        <v/>
      </c>
      <c r="L26" s="15">
        <f>SETUP!$B$41</f>
        <v/>
      </c>
      <c r="M26" s="15">
        <f>SETUP!$B$41</f>
        <v/>
      </c>
      <c r="N26" s="15">
        <f>SETUP!$B$41</f>
        <v/>
      </c>
      <c r="O26" s="15">
        <f>SETUP!$B$41</f>
        <v/>
      </c>
    </row>
    <row r="27">
      <c r="A27" s="2" t="inlineStr">
        <is>
          <t>HEADROOM</t>
        </is>
      </c>
      <c r="C27" s="16">
        <f>C25-C26</f>
        <v/>
      </c>
      <c r="D27" s="16">
        <f>D25-D26</f>
        <v/>
      </c>
      <c r="E27" s="16">
        <f>E25-E26</f>
        <v/>
      </c>
      <c r="F27" s="16">
        <f>F25-F26</f>
        <v/>
      </c>
      <c r="G27" s="16">
        <f>G25-G26</f>
        <v/>
      </c>
      <c r="H27" s="16">
        <f>H25-H26</f>
        <v/>
      </c>
      <c r="I27" s="16">
        <f>I25-I26</f>
        <v/>
      </c>
      <c r="J27" s="16">
        <f>J25-J26</f>
        <v/>
      </c>
      <c r="K27" s="16">
        <f>K25-K26</f>
        <v/>
      </c>
      <c r="L27" s="16">
        <f>L25-L26</f>
        <v/>
      </c>
      <c r="M27" s="16">
        <f>M25-M26</f>
        <v/>
      </c>
      <c r="N27" s="16">
        <f>N25-N26</f>
        <v/>
      </c>
      <c r="O27" s="16">
        <f>O25-O26</f>
        <v/>
      </c>
    </row>
    <row r="28">
      <c r="A28" s="2" t="inlineStr">
        <is>
          <t>ALARM</t>
        </is>
      </c>
      <c r="C28" s="17">
        <f>IF(C25&lt;C26,"BREACH","ok")</f>
        <v/>
      </c>
      <c r="D28" s="17">
        <f>IF(D25&lt;D26,"BREACH","ok")</f>
        <v/>
      </c>
      <c r="E28" s="17">
        <f>IF(E25&lt;E26,"BREACH","ok")</f>
        <v/>
      </c>
      <c r="F28" s="17">
        <f>IF(F25&lt;F26,"BREACH","ok")</f>
        <v/>
      </c>
      <c r="G28" s="17">
        <f>IF(G25&lt;G26,"BREACH","ok")</f>
        <v/>
      </c>
      <c r="H28" s="17">
        <f>IF(H25&lt;H26,"BREACH","ok")</f>
        <v/>
      </c>
      <c r="I28" s="17">
        <f>IF(I25&lt;I26,"BREACH","ok")</f>
        <v/>
      </c>
      <c r="J28" s="17">
        <f>IF(J25&lt;J26,"BREACH","ok")</f>
        <v/>
      </c>
      <c r="K28" s="17">
        <f>IF(K25&lt;K26,"BREACH","ok")</f>
        <v/>
      </c>
      <c r="L28" s="17">
        <f>IF(L25&lt;L26,"BREACH","ok")</f>
        <v/>
      </c>
      <c r="M28" s="17">
        <f>IF(M25&lt;M26,"BREACH","ok")</f>
        <v/>
      </c>
      <c r="N28" s="17">
        <f>IF(N25&lt;N26,"BREACH","ok")</f>
        <v/>
      </c>
      <c r="O28" s="17">
        <f>IF(O25&lt;O26,"BREACH","ok")</f>
        <v/>
      </c>
    </row>
    <row r="30">
      <c r="A30" s="3" t="inlineStr">
        <is>
          <t>Renew, Session 4, on the weekly cash meeting: 'Review the end cash position with the forecast. Any difference? Any payments we need to slow or receipts we need to accelerate?'</t>
        </is>
      </c>
    </row>
    <row r="31">
      <c r="A31" s="3" t="inlineStr">
        <is>
          <t>Their Accounting and Finance Team Checklist puts this on the Finance Manager as a WEEKLY duty.</t>
        </is>
      </c>
    </row>
    <row r="32">
      <c r="A32" s="3" t="inlineStr">
        <is>
          <t>Jar deposits received are NOT revenue. They are here because they are cash, and this tab is about cash.</t>
        </is>
      </c>
    </row>
    <row r="33">
      <c r="A33" s="3" t="inlineStr">
        <is>
          <t>Jar deposit REFUNDS is a row on purpose. It is zero today and it will not stay zero.</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0" customWidth="1" min="1" max="1"/>
    <col width="50" customWidth="1" min="2" max="2"/>
    <col width="20" customWidth="1" min="3" max="3"/>
    <col width="18" customWidth="1" min="4" max="4"/>
    <col width="20" customWidth="1" min="5" max="5"/>
    <col width="62" customWidth="1" min="6" max="6"/>
  </cols>
  <sheetData>
    <row r="1">
      <c r="A1" s="1" t="inlineStr">
        <is>
          <t>GAPS — what we do not know, who answers it, and by when</t>
        </is>
      </c>
    </row>
    <row r="2">
      <c r="A2" s="3" t="inlineStr">
        <is>
          <t>Nothing in this workbook is guessed silently. Every unknown is here with a name against it. Blockers must clear BEFORE 1 October.</t>
        </is>
      </c>
    </row>
    <row r="4">
      <c r="A4" s="11" t="inlineStr">
        <is>
          <t>ID</t>
        </is>
      </c>
      <c r="B4" s="11" t="inlineStr">
        <is>
          <t>What we need</t>
        </is>
      </c>
      <c r="C4" s="11" t="inlineStr">
        <is>
          <t>Blocks</t>
        </is>
      </c>
      <c r="D4" s="11" t="inlineStr">
        <is>
          <t>Owner</t>
        </is>
      </c>
      <c r="E4" s="11" t="inlineStr">
        <is>
          <t>Due</t>
        </is>
      </c>
      <c r="F4" s="11" t="inlineStr">
        <is>
          <t>Why it matters</t>
        </is>
      </c>
    </row>
    <row r="5">
      <c r="A5" t="inlineStr">
        <is>
          <t>GAP-01</t>
        </is>
      </c>
      <c r="B5" t="inlineStr">
        <is>
          <t>URA TIN</t>
        </is>
      </c>
      <c r="C5" t="inlineStr">
        <is>
          <t>Every filing</t>
        </is>
      </c>
      <c r="D5" t="inlineStr">
        <is>
          <t>Sammy</t>
        </is>
      </c>
      <c r="E5" t="inlineStr">
        <is>
          <t>Before 1 Oct</t>
        </is>
      </c>
      <c r="F5" t="inlineStr">
        <is>
          <t>Cannot file anything without it</t>
        </is>
      </c>
    </row>
    <row r="6">
      <c r="A6" s="12" t="inlineStr">
        <is>
          <t>GAP-02</t>
        </is>
      </c>
      <c r="B6" s="12" t="inlineStr">
        <is>
          <t>VAT registered? From what date?</t>
        </is>
      </c>
      <c r="C6" s="12" t="inlineStr">
        <is>
          <t>Pricing and every invoice</t>
        </is>
      </c>
      <c r="D6" s="12" t="inlineStr">
        <is>
          <t>Sammy</t>
        </is>
      </c>
      <c r="E6" s="12" t="inlineStr">
        <is>
          <t>BEFORE 1 OCT</t>
        </is>
      </c>
      <c r="F6" s="12" t="inlineStr">
        <is>
          <t>If not registered, we charge no output VAT and recover no input VAT. Changes price, margin and cash from day one.</t>
        </is>
      </c>
    </row>
    <row r="7">
      <c r="A7" s="12" t="inlineStr">
        <is>
          <t>GAP-03</t>
        </is>
      </c>
      <c r="B7" s="12" t="inlineStr">
        <is>
          <t>EFRIS enrolled?</t>
        </is>
      </c>
      <c r="C7" s="12" t="inlineStr">
        <is>
          <t>Input VAT recovery</t>
        </is>
      </c>
      <c r="D7" s="12" t="inlineStr">
        <is>
          <t>Sammy</t>
        </is>
      </c>
      <c r="E7" s="12" t="inlineStr">
        <is>
          <t>BEFORE 1 OCT</t>
        </is>
      </c>
      <c r="F7" s="12" t="inlineStr">
        <is>
          <t>The 75% recovery assumption is worth ~39.5m/yr and is EARNED by EFRIS invoices. No EFRIS, no recovery.</t>
        </is>
      </c>
    </row>
    <row r="8">
      <c r="A8" s="12" t="inlineStr">
        <is>
          <t>GAP-04</t>
        </is>
      </c>
      <c r="B8" s="12" t="inlineStr">
        <is>
          <t>NSSF EMPLOYER rate — 5% or 10%?</t>
        </is>
      </c>
      <c r="C8" s="12" t="inlineStr">
        <is>
          <t>Payroll, P&amp;L, cash</t>
        </is>
      </c>
      <c r="D8" s="12" t="inlineStr">
        <is>
          <t>Sammy</t>
        </is>
      </c>
      <c r="E8" s="12" t="inlineStr">
        <is>
          <t>BEFORE first payroll</t>
        </is>
      </c>
      <c r="F8" s="12" t="inlineStr">
        <is>
          <t>Model says 5%, statutory is 10%. On 118.9m of wages this is material and it understates cost.</t>
        </is>
      </c>
    </row>
    <row r="9">
      <c r="A9" s="12" t="inlineStr">
        <is>
          <t>GAP-05</t>
        </is>
      </c>
      <c r="B9" s="12" t="inlineStr">
        <is>
          <t>Local Service Tax — rate and cycle</t>
        </is>
      </c>
      <c r="C9" s="12" t="inlineStr">
        <is>
          <t>Payroll</t>
        </is>
      </c>
      <c r="D9" s="12" t="inlineStr">
        <is>
          <t>Sammy</t>
        </is>
      </c>
      <c r="E9" s="12" t="inlineStr">
        <is>
          <t>BEFORE first payroll</t>
        </is>
      </c>
      <c r="F9" s="12" t="inlineStr">
        <is>
          <t>Absent from the model entirely</t>
        </is>
      </c>
    </row>
    <row r="10">
      <c r="A10" s="12" t="inlineStr">
        <is>
          <t>GAP-06</t>
        </is>
      </c>
      <c r="B10" s="12" t="inlineStr">
        <is>
          <t>UNBS certification — status and date</t>
        </is>
      </c>
      <c r="C10" s="12" t="inlineStr">
        <is>
          <t>Whether we can sell at all</t>
        </is>
      </c>
      <c r="D10" s="12" t="inlineStr">
        <is>
          <t>Sammy</t>
        </is>
      </c>
      <c r="E10" s="12" t="inlineStr">
        <is>
          <t>BEFORE 1 OCT</t>
        </is>
      </c>
      <c r="F10" s="12" t="inlineStr">
        <is>
          <t>A delay pushes the whole ramp right and turns a one-month loss into a one-quarter loss</t>
        </is>
      </c>
    </row>
    <row r="11">
      <c r="A11" s="12" t="inlineStr">
        <is>
          <t>GAP-07</t>
        </is>
      </c>
      <c r="B11" s="12" t="inlineStr">
        <is>
          <t>Opening cash at 1 Oct — bank, mobile, petty</t>
        </is>
      </c>
      <c r="C11" s="12" t="inlineStr">
        <is>
          <t>Everything</t>
        </is>
      </c>
      <c r="D11" s="12" t="inlineStr">
        <is>
          <t>Sammy</t>
        </is>
      </c>
      <c r="E11" s="12" t="inlineStr">
        <is>
          <t>30 Sep</t>
        </is>
      </c>
      <c r="F11" s="12" t="inlineStr">
        <is>
          <t>The model assumes 4,000,000. Count it, do not assume it.</t>
        </is>
      </c>
    </row>
    <row r="12">
      <c r="A12" s="12" t="inlineStr">
        <is>
          <t>GAP-08</t>
        </is>
      </c>
      <c r="B12" s="12" t="inlineStr">
        <is>
          <t>Opening inventory at 1 Oct — physical count</t>
        </is>
      </c>
      <c r="C12" s="12" t="inlineStr">
        <is>
          <t>Balance sheet, COGS</t>
        </is>
      </c>
      <c r="D12" s="12" t="inlineStr">
        <is>
          <t>Sammy</t>
        </is>
      </c>
      <c r="E12" s="12" t="inlineStr">
        <is>
          <t>30 Sep</t>
        </is>
      </c>
      <c r="F12" s="12" t="inlineStr">
        <is>
          <t>Model assumes 5,112,500</t>
        </is>
      </c>
    </row>
    <row r="13">
      <c r="A13" s="12" t="inlineStr">
        <is>
          <t>GAP-09</t>
        </is>
      </c>
      <c r="B13" s="12" t="inlineStr">
        <is>
          <t>Jars already in the field, deposits already held</t>
        </is>
      </c>
      <c r="C13" s="12" t="inlineStr">
        <is>
          <t>Deposit liability</t>
        </is>
      </c>
      <c r="D13" s="12" t="inlineStr">
        <is>
          <t>Sammy</t>
        </is>
      </c>
      <c r="E13" s="12" t="inlineStr">
        <is>
          <t>30 Sep</t>
        </is>
      </c>
      <c r="F13" s="12" t="inlineStr">
        <is>
          <t>If any jars are out there, we already owe that money back</t>
        </is>
      </c>
    </row>
    <row r="14">
      <c r="A14" s="12" t="inlineStr">
        <is>
          <t>GAP-10</t>
        </is>
      </c>
      <c r="B14" s="12" t="inlineStr">
        <is>
          <t>Opening receivables, payables, loans</t>
        </is>
      </c>
      <c r="C14" s="12" t="inlineStr">
        <is>
          <t>Balance sheet</t>
        </is>
      </c>
      <c r="D14" s="12" t="inlineStr">
        <is>
          <t>Sammy</t>
        </is>
      </c>
      <c r="E14" s="12" t="inlineStr">
        <is>
          <t>30 Sep</t>
        </is>
      </c>
      <c r="F14" s="12" t="inlineStr">
        <is>
          <t>Model assumes all three are zero</t>
        </is>
      </c>
    </row>
    <row r="15">
      <c r="A15" t="inlineStr">
        <is>
          <t>GAP-11</t>
        </is>
      </c>
      <c r="B15" t="inlineStr">
        <is>
          <t>Plant life and membrane replacement schedule</t>
        </is>
      </c>
      <c r="C15" t="inlineStr">
        <is>
          <t>Depreciation, capex</t>
        </is>
      </c>
      <c r="D15" t="inlineStr">
        <is>
          <t>Sammy</t>
        </is>
      </c>
      <c r="E15" t="inlineStr">
        <is>
          <t>Oct</t>
        </is>
      </c>
      <c r="F15" t="inlineStr">
        <is>
          <t>Zero maintenance capex in a full year of 2,000 jars/day cannot be right</t>
        </is>
      </c>
    </row>
    <row r="16">
      <c r="A16" t="inlineStr">
        <is>
          <t>GAP-12</t>
        </is>
      </c>
      <c r="B16" t="inlineStr">
        <is>
          <t>Real cap table — share capital, investor terms</t>
        </is>
      </c>
      <c r="C16" t="inlineStr">
        <is>
          <t>Investor view, equity</t>
        </is>
      </c>
      <c r="D16" t="inlineStr">
        <is>
          <t>Sammy</t>
        </is>
      </c>
      <c r="E16" t="inlineStr">
        <is>
          <t>Oct</t>
        </is>
      </c>
      <c r="F16" t="inlineStr">
        <is>
          <t>The model's equity is DERIVED, not the real cap table</t>
        </is>
      </c>
    </row>
    <row r="17">
      <c r="A17" t="inlineStr">
        <is>
          <t>GAP-13</t>
        </is>
      </c>
      <c r="B17" t="inlineStr">
        <is>
          <t>Bill of materials per SKU</t>
        </is>
      </c>
      <c r="C17" t="inlineStr">
        <is>
          <t>Cost of sales</t>
        </is>
      </c>
      <c r="D17" t="inlineStr">
        <is>
          <t>Sammy</t>
        </is>
      </c>
      <c r="E17" t="inlineStr">
        <is>
          <t>Oct</t>
        </is>
      </c>
      <c r="F17" t="inlineStr">
        <is>
          <t>We know the COGS total, not the cost lines. You cannot find a reason inside a blended number.</t>
        </is>
      </c>
    </row>
    <row r="18">
      <c r="A18" t="inlineStr">
        <is>
          <t>GAP-14</t>
        </is>
      </c>
      <c r="B18" t="inlineStr">
        <is>
          <t>Delivery and logistics — own or hired, what cost?</t>
        </is>
      </c>
      <c r="C18" t="inlineStr">
        <is>
          <t>Cost of sales</t>
        </is>
      </c>
      <c r="D18" t="inlineStr">
        <is>
          <t>Sammy</t>
        </is>
      </c>
      <c r="E18" t="inlineStr">
        <is>
          <t>Oct</t>
        </is>
      </c>
      <c r="F18" t="inlineStr">
        <is>
          <t>Not visible anywhere in the model</t>
        </is>
      </c>
    </row>
    <row r="19">
      <c r="A19" s="12" t="inlineStr">
        <is>
          <t>GAP-15</t>
        </is>
      </c>
      <c r="B19" s="12" t="inlineStr">
        <is>
          <t>Headcount register — roles at each payroll step</t>
        </is>
      </c>
      <c r="C19" s="12" t="inlineStr">
        <is>
          <t>Payroll</t>
        </is>
      </c>
      <c r="D19" s="12" t="inlineStr">
        <is>
          <t>Sammy</t>
        </is>
      </c>
      <c r="E19" s="12" t="inlineStr">
        <is>
          <t>BEFORE first payroll</t>
        </is>
      </c>
      <c r="F19" s="12" t="inlineStr">
        <is>
          <t>2,575,000 then 13,575,000 at month 5. Which roles, how many heads?</t>
        </is>
      </c>
    </row>
    <row r="20">
      <c r="A20" t="inlineStr">
        <is>
          <t>GAP-16</t>
        </is>
      </c>
      <c r="B20" t="inlineStr">
        <is>
          <t>Breakdown of the 8,163,542 monthly overhead</t>
        </is>
      </c>
      <c r="C20" t="inlineStr">
        <is>
          <t>Operating costs</t>
        </is>
      </c>
      <c r="D20" t="inlineStr">
        <is>
          <t>Sammy</t>
        </is>
      </c>
      <c r="E20" t="inlineStr">
        <is>
          <t>Oct</t>
        </is>
      </c>
      <c r="F20" t="inlineStr">
        <is>
          <t>One blended number covering rent, power, security, internet, insurance, repairs, cleaning</t>
        </is>
      </c>
    </row>
    <row r="21">
      <c r="A21" t="inlineStr">
        <is>
          <t>GAP-17</t>
        </is>
      </c>
      <c r="B21" t="inlineStr">
        <is>
          <t>Appoint an auditor</t>
        </is>
      </c>
      <c r="C21" t="inlineStr">
        <is>
          <t>Credibility, raise readiness</t>
        </is>
      </c>
      <c r="D21" t="inlineStr">
        <is>
          <t>Sammy</t>
        </is>
      </c>
      <c r="E21" t="inlineStr">
        <is>
          <t>Q1</t>
        </is>
      </c>
      <c r="F21" t="inlineStr">
        <is>
          <t>Cheaper now than under a raise deadline</t>
        </is>
      </c>
    </row>
    <row r="22">
      <c r="A22" t="inlineStr">
        <is>
          <t>GAP-18</t>
        </is>
      </c>
      <c r="B22" t="inlineStr">
        <is>
          <t>Marketing budget and cost per acquired customer</t>
        </is>
      </c>
      <c r="C22" t="inlineStr">
        <is>
          <t>Growth view</t>
        </is>
      </c>
      <c r="D22" t="inlineStr">
        <is>
          <t>Sammy</t>
        </is>
      </c>
      <c r="E22" t="inlineStr">
        <is>
          <t>Oct</t>
        </is>
      </c>
      <c r="F22" t="inlineStr">
        <is>
          <t>The plan wins 750 new jar customers a month at zero cost. Investors will ask.</t>
        </is>
      </c>
    </row>
    <row r="23">
      <c r="A23" s="12" t="inlineStr">
        <is>
          <t>GAP-19</t>
        </is>
      </c>
      <c r="B23" s="12" t="inlineStr">
        <is>
          <t>Approve or replace the two middle B2B ladder bands</t>
        </is>
      </c>
      <c r="C23" s="12" t="inlineStr">
        <is>
          <t>Revenue mix</t>
        </is>
      </c>
      <c r="D23" s="12" t="inlineStr">
        <is>
          <t>Sammy</t>
        </is>
      </c>
      <c r="E23" s="12" t="inlineStr">
        <is>
          <t>BEFORE 1 OCT</t>
        </is>
      </c>
      <c r="F23" s="12" t="inlineStr">
        <is>
          <t>Half the ladder is unapproved, so part of the revenue plan is assumption</t>
        </is>
      </c>
    </row>
    <row r="24">
      <c r="A24" s="12" t="inlineStr">
        <is>
          <t>GAP-20</t>
        </is>
      </c>
      <c r="B24" s="12" t="inlineStr">
        <is>
          <t>Jar return / churn rate, and a refund policy</t>
        </is>
      </c>
      <c r="C24" s="12" t="inlineStr">
        <is>
          <t>Deposits, cash</t>
        </is>
      </c>
      <c r="D24" s="12" t="inlineStr">
        <is>
          <t>Sammy + tax advisor</t>
        </is>
      </c>
      <c r="E24" s="12" t="inlineStr">
        <is>
          <t>BEFORE 1 OCT</t>
        </is>
      </c>
      <c r="F24" s="12" t="inlineStr">
        <is>
          <t>Zero returns is modelled. Also open: does VAT crystallise on a forfeited deposit?</t>
        </is>
      </c>
    </row>
    <row r="25">
      <c r="A25" s="12" t="inlineStr">
        <is>
          <t>GAP-21</t>
        </is>
      </c>
      <c r="B25" s="12" t="inlineStr">
        <is>
          <t>Bank accounts and mobile money merchant accounts</t>
        </is>
      </c>
      <c r="C25" s="12" t="inlineStr">
        <is>
          <t>Cash, reconciliation</t>
        </is>
      </c>
      <c r="D25" s="12" t="inlineStr">
        <is>
          <t>Sammy</t>
        </is>
      </c>
      <c r="E25" s="12" t="inlineStr">
        <is>
          <t>BEFORE 1 OCT</t>
        </is>
      </c>
      <c r="F25" s="12" t="inlineStr">
        <is>
          <t>Daily bank reconciliation needs daily balance access</t>
        </is>
      </c>
    </row>
    <row r="26">
      <c r="A26" t="inlineStr">
        <is>
          <t>GAP-22</t>
        </is>
      </c>
      <c r="B26" t="inlineStr">
        <is>
          <t>Who else gets edit access, and when</t>
        </is>
      </c>
      <c r="C26" t="inlineStr">
        <is>
          <t>Controls</t>
        </is>
      </c>
      <c r="D26" t="inlineStr">
        <is>
          <t>Sammy</t>
        </is>
      </c>
      <c r="E26" t="inlineStr">
        <is>
          <t>Oct</t>
        </is>
      </c>
      <c r="F26" t="inlineStr">
        <is>
          <t>Today it is one person, which means no segregation of duties</t>
        </is>
      </c>
    </row>
    <row r="28">
      <c r="B28" s="2" t="inlineStr">
        <is>
          <t>Highlighted rows block the 1 October start. Everything else can follow in October.</t>
        </is>
      </c>
    </row>
    <row r="30">
      <c r="B30" s="3" t="inlineStr">
        <is>
          <t>Renew, Session 2: "I don't know yet. I will have that by Thursday at noon." Admit, commit to a time, deliver. Bluffing is fatal.</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54" customWidth="1" min="1" max="1"/>
    <col width="22" customWidth="1" min="2" max="2"/>
    <col width="22" customWidth="1" min="3" max="3"/>
    <col width="56" customWidth="1" min="4" max="4"/>
  </cols>
  <sheetData>
    <row r="1">
      <c r="A1" s="1" t="inlineStr">
        <is>
          <t>CHECKS — run these before anything leaves this file</t>
        </is>
      </c>
    </row>
    <row r="3">
      <c r="A3" s="11" t="inlineStr">
        <is>
          <t>Check</t>
        </is>
      </c>
      <c r="B3" s="11" t="inlineStr">
        <is>
          <t>Value</t>
        </is>
      </c>
      <c r="C3" s="11" t="inlineStr">
        <is>
          <t>Should be</t>
        </is>
      </c>
      <c r="D3" s="11" t="inlineStr">
        <is>
          <t>Verdict</t>
        </is>
      </c>
    </row>
    <row r="4">
      <c r="A4" t="inlineStr">
        <is>
          <t>Journal balances (debits = credits)</t>
        </is>
      </c>
      <c r="B4" s="16">
        <f>MONTHLY!C58</f>
        <v/>
      </c>
      <c r="C4" t="inlineStr">
        <is>
          <t>0</t>
        </is>
      </c>
      <c r="D4" s="17">
        <f>IF(B4=0,"OK","FIX THIS FIRST")</f>
        <v/>
      </c>
    </row>
    <row r="5">
      <c r="A5" t="inlineStr">
        <is>
          <t>Balance sheet balances (month 1)</t>
        </is>
      </c>
      <c r="B5" s="16">
        <f>'BALANCE SHEET'!C27</f>
        <v/>
      </c>
      <c r="C5" t="inlineStr">
        <is>
          <t>0</t>
        </is>
      </c>
      <c r="D5" s="17">
        <f>IF(B5=0,"OK","FIX THIS FIRST")</f>
        <v/>
      </c>
    </row>
    <row r="6">
      <c r="A6" t="inlineStr">
        <is>
          <t>Balance sheet balances (month 12)</t>
        </is>
      </c>
      <c r="B6" s="16">
        <f>'BALANCE SHEET'!N27</f>
        <v/>
      </c>
      <c r="C6" t="inlineStr">
        <is>
          <t>0</t>
        </is>
      </c>
      <c r="D6" s="17">
        <f>IF(B6=0,"OK","FIX THIS FIRST")</f>
        <v/>
      </c>
    </row>
    <row r="7">
      <c r="A7" t="inlineStr">
        <is>
          <t>Journal rows with no account code</t>
        </is>
      </c>
      <c r="B7" s="16">
        <f>COUNTIFS(JOURNAL!$A$5:$A$504,"&lt;&gt;",JOURNAL!$C$5:$C$504,"")</f>
        <v/>
      </c>
      <c r="C7" t="inlineStr">
        <is>
          <t>0</t>
        </is>
      </c>
      <c r="D7" s="17">
        <f>IF(B7=0,"OK","FIX THIS FIRST")</f>
        <v/>
      </c>
    </row>
    <row r="8">
      <c r="A8" t="inlineStr">
        <is>
          <t>Journal rows with neither debit nor credit</t>
        </is>
      </c>
      <c r="B8" s="16">
        <f>COUNTIFS(JOURNAL!$A$5:$A$504,"&lt;&gt;",JOURNAL!$I$5:$I$504,0,JOURNAL!$J$5:$J$504,0)</f>
        <v/>
      </c>
      <c r="C8" t="inlineStr">
        <is>
          <t>0</t>
        </is>
      </c>
      <c r="D8" s="17">
        <f>IF(B8=0,"OK","FIX THIS FIRST")</f>
        <v/>
      </c>
    </row>
    <row r="9">
      <c r="A9" t="inlineStr">
        <is>
          <t>Gaps still blocking the 1 Oct start</t>
        </is>
      </c>
      <c r="B9" s="16">
        <f>COUNTIF(GAPS!E:E,"BEFORE 1 OCT")+COUNTIF(GAPS!E:E,"30 Sep")+COUNTIF(GAPS!E:E,"BEFORE first payroll")</f>
        <v/>
      </c>
      <c r="C9" t="inlineStr">
        <is>
          <t>0 by 1 Oct</t>
        </is>
      </c>
      <c r="D9" s="17">
        <f>IF(B9=0,"OK","FIX THIS FIRST")</f>
        <v/>
      </c>
    </row>
    <row r="11">
      <c r="A11" s="2" t="inlineStr">
        <is>
          <t>Renew's pre-send checklist, Session 4:</t>
        </is>
      </c>
    </row>
    <row r="12">
      <c r="A12" s="3" t="inlineStr">
        <is>
          <t xml:space="preserve">  Can I trust this data?  Does it cover what actually matters?  Is it still timely?</t>
        </is>
      </c>
    </row>
    <row r="13">
      <c r="A13" s="3" t="inlineStr">
        <is>
          <t xml:space="preserve">  Is it clear enough to digest in under a minute?</t>
        </is>
      </c>
    </row>
    <row r="14">
      <c r="A14" s="3" t="inlineStr">
        <is>
          <t xml:space="preserve">  If the answer to any of those is no, it isn't ready.</t>
        </is>
      </c>
    </row>
    <row r="15">
      <c r="A15" s="3" t="inlineStr"/>
    </row>
    <row r="16">
      <c r="A16" s="2" t="inlineStr">
        <is>
          <t>Renew's pre-send integrity checklist, Session 2 — BEFORE SENDING THE FS TO THE CEO:</t>
        </is>
      </c>
    </row>
    <row r="17">
      <c r="A17" s="3" t="inlineStr">
        <is>
          <t xml:space="preserve">  cash check, net income check, receivables, payables, inventory, non-cash expense, interest, unusual variance.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36"/>
  <sheetViews>
    <sheetView workbookViewId="0">
      <pane ySplit="4" topLeftCell="A5" activePane="bottomLeft" state="frozen"/>
      <selection pane="bottomLeft" activeCell="A1" sqref="A1"/>
    </sheetView>
  </sheetViews>
  <sheetFormatPr baseColWidth="8" defaultRowHeight="15"/>
  <cols>
    <col width="9" customWidth="1" min="1" max="1"/>
    <col width="13" customWidth="1" min="2" max="2"/>
    <col width="26" customWidth="1" min="3" max="3"/>
    <col width="11" customWidth="1" min="4" max="4"/>
    <col width="52" customWidth="1" min="5" max="5"/>
    <col width="13" customWidth="1" min="6" max="6"/>
    <col width="13" customWidth="1" min="7" max="7"/>
    <col width="14" customWidth="1" min="8" max="8"/>
    <col width="44" customWidth="1" min="9" max="9"/>
    <col width="24" customWidth="1" min="10" max="10"/>
    <col width="13" customWidth="1" min="11" max="11"/>
  </cols>
  <sheetData>
    <row r="1">
      <c r="A1" s="1" t="inlineStr">
        <is>
          <t>REQUEST REGISTER — the Finance Desk queue</t>
        </is>
      </c>
    </row>
    <row r="2">
      <c r="A2" s="3" t="inlineStr">
        <is>
          <t>Every request to finance, from a human or an agent. Intake: finance@maji-safi.com. Answers use LEAD. Nothing is answered twice, two different ways.</t>
        </is>
      </c>
    </row>
    <row r="4">
      <c r="A4" s="11" t="inlineStr">
        <is>
          <t>ID</t>
        </is>
      </c>
      <c r="B4" s="11" t="inlineStr">
        <is>
          <t>Received</t>
        </is>
      </c>
      <c r="C4" s="11" t="inlineStr">
        <is>
          <t>From</t>
        </is>
      </c>
      <c r="D4" s="11" t="inlineStr">
        <is>
          <t>Type</t>
        </is>
      </c>
      <c r="E4" s="11" t="inlineStr">
        <is>
          <t>Request</t>
        </is>
      </c>
      <c r="F4" s="11" t="inlineStr">
        <is>
          <t>Needed by</t>
        </is>
      </c>
      <c r="G4" s="11" t="inlineStr">
        <is>
          <t>Status</t>
        </is>
      </c>
      <c r="H4" s="11" t="inlineStr">
        <is>
          <t>Answered</t>
        </is>
      </c>
      <c r="I4" s="11" t="inlineStr">
        <is>
          <t>Answer — L line</t>
        </is>
      </c>
      <c r="J4" s="11" t="inlineStr">
        <is>
          <t>Recorded in</t>
        </is>
      </c>
      <c r="K4" s="11" t="inlineStr">
        <is>
          <t>SLA met</t>
        </is>
      </c>
    </row>
    <row r="5">
      <c r="A5" t="inlineStr">
        <is>
          <t>FD-001</t>
        </is>
      </c>
      <c r="B5" t="inlineStr">
        <is>
          <t>2026-09-21</t>
        </is>
      </c>
      <c r="C5" t="inlineStr">
        <is>
          <t>Capital Brief (agent)</t>
        </is>
      </c>
      <c r="D5" t="inlineStr">
        <is>
          <t>document</t>
        </is>
      </c>
      <c r="E5" t="inlineStr">
        <is>
          <t>FY2025 and FY2026 statements prepared for a lender, not just URA</t>
        </is>
      </c>
      <c r="F5" t="inlineStr">
        <is>
          <t>Dec 2026</t>
        </is>
      </c>
      <c r="G5" s="17" t="inlineStr">
        <is>
          <t>BLOCKED</t>
        </is>
      </c>
      <c r="H5" t="inlineStr">
        <is>
          <t>2026-09-21</t>
        </is>
      </c>
      <c r="I5" t="inlineStr">
        <is>
          <t>The statements do not exist and nobody keeps the books. They are hygiene, not the capital asset — the October close on 10 Nov is. Appoint an accountant this week and establish the year-end.</t>
        </is>
      </c>
      <c r="J5" t="inlineStr">
        <is>
          <t>requests/FD-001.md</t>
        </is>
      </c>
      <c r="K5" t="inlineStr">
        <is>
          <t>YES</t>
        </is>
      </c>
    </row>
    <row r="6">
      <c r="A6" t="inlineStr">
        <is>
          <t>FD-002</t>
        </is>
      </c>
      <c r="B6" t="inlineStr">
        <is>
          <t>2026-09-21</t>
        </is>
      </c>
      <c r="C6" t="inlineStr">
        <is>
          <t>Capital Brief (agent)</t>
        </is>
      </c>
      <c r="D6" t="inlineStr">
        <is>
          <t>decision</t>
        </is>
      </c>
      <c r="E6" t="inlineStr">
        <is>
          <t>Per-site cost: USD 80,000 or USD 20,000? 4x spread, blocks Wednesday</t>
        </is>
      </c>
      <c r="F6" t="inlineStr">
        <is>
          <t>2026-09-23</t>
        </is>
      </c>
      <c r="G6" s="17" t="inlineStr">
        <is>
          <t>DISPUTED</t>
        </is>
      </c>
      <c r="H6" t="inlineStr">
        <is>
          <t>2026-09-21</t>
        </is>
      </c>
      <c r="I6" t="inlineStr">
        <is>
          <t>Cannot certify either until the 80,000 is decomposed. Embargoed from all outbound. Send me the build-up and I rule in a day.</t>
        </is>
      </c>
      <c r="J6" t="inlineStr">
        <is>
          <t>requests/FD-002.md</t>
        </is>
      </c>
      <c r="K6" t="inlineStr">
        <is>
          <t>YES</t>
        </is>
      </c>
    </row>
    <row r="7">
      <c r="A7" t="inlineStr">
        <is>
          <t>FD-003</t>
        </is>
      </c>
      <c r="B7" t="inlineStr">
        <is>
          <t>2026-09-21</t>
        </is>
      </c>
      <c r="C7" t="inlineStr">
        <is>
          <t>Capital Brief (agent)</t>
        </is>
      </c>
      <c r="D7" t="inlineStr">
        <is>
          <t>approval</t>
        </is>
      </c>
      <c r="E7" t="inlineStr">
        <is>
          <t>May impact claims built on UNBS certification be used?</t>
        </is>
      </c>
      <c r="F7" t="inlineStr">
        <is>
          <t>2026-09-23</t>
        </is>
      </c>
      <c r="G7" s="17" t="inlineStr">
        <is>
          <t>EMBARGOED</t>
        </is>
      </c>
      <c r="H7" t="inlineStr">
        <is>
          <t>2026-09-21</t>
        </is>
      </c>
      <c r="I7" t="inlineStr">
        <is>
          <t>No. Embargoed until the certificate is verified filed. The plant spec is still sayable; certification and anything derived from it is not.</t>
        </is>
      </c>
      <c r="J7" t="inlineStr">
        <is>
          <t>requests/FD-003.md</t>
        </is>
      </c>
      <c r="K7" t="inlineStr">
        <is>
          <t>YES</t>
        </is>
      </c>
    </row>
    <row r="8">
      <c r="A8" s="6" t="n"/>
      <c r="B8" s="6" t="n"/>
      <c r="C8" s="6" t="n"/>
      <c r="D8" s="6" t="n"/>
      <c r="E8" s="6" t="n"/>
      <c r="F8" s="6" t="n"/>
      <c r="G8" s="6" t="n"/>
      <c r="H8" s="6" t="n"/>
      <c r="I8" s="6" t="n"/>
      <c r="J8" s="6" t="n"/>
      <c r="K8" s="6" t="n"/>
    </row>
    <row r="9">
      <c r="A9" s="6" t="n"/>
      <c r="B9" s="6" t="n"/>
      <c r="C9" s="6" t="n"/>
      <c r="D9" s="6" t="n"/>
      <c r="E9" s="6" t="n"/>
      <c r="F9" s="6" t="n"/>
      <c r="G9" s="6" t="n"/>
      <c r="H9" s="6" t="n"/>
      <c r="I9" s="6" t="n"/>
      <c r="J9" s="6" t="n"/>
      <c r="K9" s="6" t="n"/>
    </row>
    <row r="10">
      <c r="A10" s="6" t="n"/>
      <c r="B10" s="6" t="n"/>
      <c r="C10" s="6" t="n"/>
      <c r="D10" s="6" t="n"/>
      <c r="E10" s="6" t="n"/>
      <c r="F10" s="6" t="n"/>
      <c r="G10" s="6" t="n"/>
      <c r="H10" s="6" t="n"/>
      <c r="I10" s="6" t="n"/>
      <c r="J10" s="6" t="n"/>
      <c r="K10" s="6" t="n"/>
    </row>
    <row r="11">
      <c r="A11" s="6" t="n"/>
      <c r="B11" s="6" t="n"/>
      <c r="C11" s="6" t="n"/>
      <c r="D11" s="6" t="n"/>
      <c r="E11" s="6" t="n"/>
      <c r="F11" s="6" t="n"/>
      <c r="G11" s="6" t="n"/>
      <c r="H11" s="6" t="n"/>
      <c r="I11" s="6" t="n"/>
      <c r="J11" s="6" t="n"/>
      <c r="K11" s="6" t="n"/>
    </row>
    <row r="12">
      <c r="A12" s="6" t="n"/>
      <c r="B12" s="6" t="n"/>
      <c r="C12" s="6" t="n"/>
      <c r="D12" s="6" t="n"/>
      <c r="E12" s="6" t="n"/>
      <c r="F12" s="6" t="n"/>
      <c r="G12" s="6" t="n"/>
      <c r="H12" s="6" t="n"/>
      <c r="I12" s="6" t="n"/>
      <c r="J12" s="6" t="n"/>
      <c r="K12" s="6" t="n"/>
    </row>
    <row r="13">
      <c r="A13" s="6" t="n"/>
      <c r="B13" s="6" t="n"/>
      <c r="C13" s="6" t="n"/>
      <c r="D13" s="6" t="n"/>
      <c r="E13" s="6" t="n"/>
      <c r="F13" s="6" t="n"/>
      <c r="G13" s="6" t="n"/>
      <c r="H13" s="6" t="n"/>
      <c r="I13" s="6" t="n"/>
      <c r="J13" s="6" t="n"/>
      <c r="K13" s="6" t="n"/>
    </row>
    <row r="14">
      <c r="A14" s="6" t="n"/>
      <c r="B14" s="6" t="n"/>
      <c r="C14" s="6" t="n"/>
      <c r="D14" s="6" t="n"/>
      <c r="E14" s="6" t="n"/>
      <c r="F14" s="6" t="n"/>
      <c r="G14" s="6" t="n"/>
      <c r="H14" s="6" t="n"/>
      <c r="I14" s="6" t="n"/>
      <c r="J14" s="6" t="n"/>
      <c r="K14" s="6" t="n"/>
    </row>
    <row r="15">
      <c r="A15" s="6" t="n"/>
      <c r="B15" s="6" t="n"/>
      <c r="C15" s="6" t="n"/>
      <c r="D15" s="6" t="n"/>
      <c r="E15" s="6" t="n"/>
      <c r="F15" s="6" t="n"/>
      <c r="G15" s="6" t="n"/>
      <c r="H15" s="6" t="n"/>
      <c r="I15" s="6" t="n"/>
      <c r="J15" s="6" t="n"/>
      <c r="K15" s="6" t="n"/>
    </row>
    <row r="16">
      <c r="A16" s="6" t="n"/>
      <c r="B16" s="6" t="n"/>
      <c r="C16" s="6" t="n"/>
      <c r="D16" s="6" t="n"/>
      <c r="E16" s="6" t="n"/>
      <c r="F16" s="6" t="n"/>
      <c r="G16" s="6" t="n"/>
      <c r="H16" s="6" t="n"/>
      <c r="I16" s="6" t="n"/>
      <c r="J16" s="6" t="n"/>
      <c r="K16" s="6" t="n"/>
    </row>
    <row r="17">
      <c r="A17" s="6" t="n"/>
      <c r="B17" s="6" t="n"/>
      <c r="C17" s="6" t="n"/>
      <c r="D17" s="6" t="n"/>
      <c r="E17" s="6" t="n"/>
      <c r="F17" s="6" t="n"/>
      <c r="G17" s="6" t="n"/>
      <c r="H17" s="6" t="n"/>
      <c r="I17" s="6" t="n"/>
      <c r="J17" s="6" t="n"/>
      <c r="K17" s="6" t="n"/>
    </row>
    <row r="18">
      <c r="A18" s="6" t="n"/>
      <c r="B18" s="6" t="n"/>
      <c r="C18" s="6" t="n"/>
      <c r="D18" s="6" t="n"/>
      <c r="E18" s="6" t="n"/>
      <c r="F18" s="6" t="n"/>
      <c r="G18" s="6" t="n"/>
      <c r="H18" s="6" t="n"/>
      <c r="I18" s="6" t="n"/>
      <c r="J18" s="6" t="n"/>
      <c r="K18" s="6" t="n"/>
    </row>
    <row r="19">
      <c r="A19" s="6" t="n"/>
      <c r="B19" s="6" t="n"/>
      <c r="C19" s="6" t="n"/>
      <c r="D19" s="6" t="n"/>
      <c r="E19" s="6" t="n"/>
      <c r="F19" s="6" t="n"/>
      <c r="G19" s="6" t="n"/>
      <c r="H19" s="6" t="n"/>
      <c r="I19" s="6" t="n"/>
      <c r="J19" s="6" t="n"/>
      <c r="K19" s="6" t="n"/>
    </row>
    <row r="20">
      <c r="A20" s="6" t="n"/>
      <c r="B20" s="6" t="n"/>
      <c r="C20" s="6" t="n"/>
      <c r="D20" s="6" t="n"/>
      <c r="E20" s="6" t="n"/>
      <c r="F20" s="6" t="n"/>
      <c r="G20" s="6" t="n"/>
      <c r="H20" s="6" t="n"/>
      <c r="I20" s="6" t="n"/>
      <c r="J20" s="6" t="n"/>
      <c r="K20" s="6" t="n"/>
    </row>
    <row r="21">
      <c r="A21" s="6" t="n"/>
      <c r="B21" s="6" t="n"/>
      <c r="C21" s="6" t="n"/>
      <c r="D21" s="6" t="n"/>
      <c r="E21" s="6" t="n"/>
      <c r="F21" s="6" t="n"/>
      <c r="G21" s="6" t="n"/>
      <c r="H21" s="6" t="n"/>
      <c r="I21" s="6" t="n"/>
      <c r="J21" s="6" t="n"/>
      <c r="K21" s="6" t="n"/>
    </row>
    <row r="22">
      <c r="A22" s="6" t="n"/>
      <c r="B22" s="6" t="n"/>
      <c r="C22" s="6" t="n"/>
      <c r="D22" s="6" t="n"/>
      <c r="E22" s="6" t="n"/>
      <c r="F22" s="6" t="n"/>
      <c r="G22" s="6" t="n"/>
      <c r="H22" s="6" t="n"/>
      <c r="I22" s="6" t="n"/>
      <c r="J22" s="6" t="n"/>
      <c r="K22" s="6" t="n"/>
    </row>
    <row r="23">
      <c r="A23" s="6" t="n"/>
      <c r="B23" s="6" t="n"/>
      <c r="C23" s="6" t="n"/>
      <c r="D23" s="6" t="n"/>
      <c r="E23" s="6" t="n"/>
      <c r="F23" s="6" t="n"/>
      <c r="G23" s="6" t="n"/>
      <c r="H23" s="6" t="n"/>
      <c r="I23" s="6" t="n"/>
      <c r="J23" s="6" t="n"/>
      <c r="K23" s="6" t="n"/>
    </row>
    <row r="24">
      <c r="A24" s="6" t="n"/>
      <c r="B24" s="6" t="n"/>
      <c r="C24" s="6" t="n"/>
      <c r="D24" s="6" t="n"/>
      <c r="E24" s="6" t="n"/>
      <c r="F24" s="6" t="n"/>
      <c r="G24" s="6" t="n"/>
      <c r="H24" s="6" t="n"/>
      <c r="I24" s="6" t="n"/>
      <c r="J24" s="6" t="n"/>
      <c r="K24" s="6" t="n"/>
    </row>
    <row r="25">
      <c r="A25" s="6" t="n"/>
      <c r="B25" s="6" t="n"/>
      <c r="C25" s="6" t="n"/>
      <c r="D25" s="6" t="n"/>
      <c r="E25" s="6" t="n"/>
      <c r="F25" s="6" t="n"/>
      <c r="G25" s="6" t="n"/>
      <c r="H25" s="6" t="n"/>
      <c r="I25" s="6" t="n"/>
      <c r="J25" s="6" t="n"/>
      <c r="K25" s="6" t="n"/>
    </row>
    <row r="26">
      <c r="A26" s="6" t="n"/>
      <c r="B26" s="6" t="n"/>
      <c r="C26" s="6" t="n"/>
      <c r="D26" s="6" t="n"/>
      <c r="E26" s="6" t="n"/>
      <c r="F26" s="6" t="n"/>
      <c r="G26" s="6" t="n"/>
      <c r="H26" s="6" t="n"/>
      <c r="I26" s="6" t="n"/>
      <c r="J26" s="6" t="n"/>
      <c r="K26" s="6" t="n"/>
    </row>
    <row r="27">
      <c r="A27" s="6" t="n"/>
      <c r="B27" s="6" t="n"/>
      <c r="C27" s="6" t="n"/>
      <c r="D27" s="6" t="n"/>
      <c r="E27" s="6" t="n"/>
      <c r="F27" s="6" t="n"/>
      <c r="G27" s="6" t="n"/>
      <c r="H27" s="6" t="n"/>
      <c r="I27" s="6" t="n"/>
      <c r="J27" s="6" t="n"/>
      <c r="K27" s="6" t="n"/>
    </row>
    <row r="28">
      <c r="A28" s="6" t="n"/>
      <c r="B28" s="6" t="n"/>
      <c r="C28" s="6" t="n"/>
      <c r="D28" s="6" t="n"/>
      <c r="E28" s="6" t="n"/>
      <c r="F28" s="6" t="n"/>
      <c r="G28" s="6" t="n"/>
      <c r="H28" s="6" t="n"/>
      <c r="I28" s="6" t="n"/>
      <c r="J28" s="6" t="n"/>
      <c r="K28" s="6" t="n"/>
    </row>
    <row r="29">
      <c r="A29" s="6" t="n"/>
      <c r="B29" s="6" t="n"/>
      <c r="C29" s="6" t="n"/>
      <c r="D29" s="6" t="n"/>
      <c r="E29" s="6" t="n"/>
      <c r="F29" s="6" t="n"/>
      <c r="G29" s="6" t="n"/>
      <c r="H29" s="6" t="n"/>
      <c r="I29" s="6" t="n"/>
      <c r="J29" s="6" t="n"/>
      <c r="K29" s="6" t="n"/>
    </row>
    <row r="30">
      <c r="A30" s="6" t="n"/>
      <c r="B30" s="6" t="n"/>
      <c r="C30" s="6" t="n"/>
      <c r="D30" s="6" t="n"/>
      <c r="E30" s="6" t="n"/>
      <c r="F30" s="6" t="n"/>
      <c r="G30" s="6" t="n"/>
      <c r="H30" s="6" t="n"/>
      <c r="I30" s="6" t="n"/>
      <c r="J30" s="6" t="n"/>
      <c r="K30" s="6" t="n"/>
    </row>
    <row r="31">
      <c r="A31" s="6" t="n"/>
      <c r="B31" s="6" t="n"/>
      <c r="C31" s="6" t="n"/>
      <c r="D31" s="6" t="n"/>
      <c r="E31" s="6" t="n"/>
      <c r="F31" s="6" t="n"/>
      <c r="G31" s="6" t="n"/>
      <c r="H31" s="6" t="n"/>
      <c r="I31" s="6" t="n"/>
      <c r="J31" s="6" t="n"/>
      <c r="K31" s="6" t="n"/>
    </row>
    <row r="32">
      <c r="A32" s="6" t="n"/>
      <c r="B32" s="6" t="n"/>
      <c r="C32" s="6" t="n"/>
      <c r="D32" s="6" t="n"/>
      <c r="E32" s="6" t="n"/>
      <c r="F32" s="6" t="n"/>
      <c r="G32" s="6" t="n"/>
      <c r="H32" s="6" t="n"/>
      <c r="I32" s="6" t="n"/>
      <c r="J32" s="6" t="n"/>
      <c r="K32" s="6" t="n"/>
    </row>
    <row r="34">
      <c r="A34" s="3" t="inlineStr">
        <is>
          <t>SLA — figure: same day (it is a lookup against canon). approval: same day. document: 3 working days or a committed date. decision: next 08:30 Ema sync or Monday cash roll.</t>
        </is>
      </c>
    </row>
    <row r="35">
      <c r="A35" s="3" t="inlineStr">
        <is>
          <t>If a deadline will be missed: 'I don't know yet. I will have that by Thursday at noon.' Commit to a time and deliver. Never bluff.</t>
        </is>
      </c>
    </row>
    <row r="36">
      <c r="A36" s="3" t="inlineStr">
        <is>
          <t>Worked daily against the FINANCE-DESK label, and again every Monday after the cash roll.</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25"/>
  <sheetViews>
    <sheetView workbookViewId="0">
      <pane ySplit="5" topLeftCell="A6" activePane="bottomLeft" state="frozen"/>
      <selection pane="bottomLeft" activeCell="A1" sqref="A1"/>
    </sheetView>
  </sheetViews>
  <sheetFormatPr baseColWidth="8" defaultRowHeight="15"/>
  <cols>
    <col width="30" customWidth="1" min="1" max="1"/>
    <col width="20" customWidth="1" min="2" max="2"/>
    <col width="10" customWidth="1" min="3" max="3"/>
    <col width="44" customWidth="1" min="4" max="4"/>
    <col width="12" customWidth="1" min="5" max="5"/>
    <col width="13" customWidth="1" min="6" max="6"/>
    <col width="14" customWidth="1" min="7" max="7"/>
    <col width="58" customWidth="1" min="8" max="8"/>
  </cols>
  <sheetData>
    <row r="1">
      <c r="A1" s="1" t="inlineStr">
        <is>
          <t>CANONICAL FIGURES — the authority list</t>
        </is>
      </c>
    </row>
    <row r="2">
      <c r="A2" s="31" t="inlineStr">
        <is>
          <t>IF A FIGURE IS NOT HERE WITH STATUS APPROVED, IT MAY NOT LEAVE THE BUILDING. No agent, no person, no document.</t>
        </is>
      </c>
    </row>
    <row r="3">
      <c r="A3" s="3" t="inlineStr">
        <is>
          <t>Mirrored for agents as knowledge-base/05-finance-desk/canonical-figures.yaml. This tab is authoritative; if they disagree, the YAML is a bug.</t>
        </is>
      </c>
    </row>
    <row r="5">
      <c r="A5" s="11" t="inlineStr">
        <is>
          <t>Figure</t>
        </is>
      </c>
      <c r="B5" s="11" t="inlineStr">
        <is>
          <t>Value</t>
        </is>
      </c>
      <c r="C5" s="11" t="inlineStr">
        <is>
          <t>Unit</t>
        </is>
      </c>
      <c r="D5" s="11" t="inlineStr">
        <is>
          <t>Basis</t>
        </is>
      </c>
      <c r="E5" s="11" t="inlineStr">
        <is>
          <t>As-of</t>
        </is>
      </c>
      <c r="F5" s="11" t="inlineStr">
        <is>
          <t>Status</t>
        </is>
      </c>
      <c r="G5" s="11" t="inlineStr">
        <is>
          <t>Owner</t>
        </is>
      </c>
      <c r="H5" s="11" t="inlineStr">
        <is>
          <t>Note / why blocked</t>
        </is>
      </c>
    </row>
    <row r="6">
      <c r="A6" t="inlineStr">
        <is>
          <t>The 2026 capital ask</t>
        </is>
      </c>
      <c r="B6" t="inlineStr">
        <is>
          <t>—</t>
        </is>
      </c>
      <c r="C6" t="inlineStr">
        <is>
          <t>USD</t>
        </is>
      </c>
      <c r="D6" t="inlineStr">
        <is>
          <t>—</t>
        </is>
      </c>
      <c r="E6" t="inlineStr">
        <is>
          <t>2026-10-05</t>
        </is>
      </c>
      <c r="F6" s="17" t="inlineStr">
        <is>
          <t>DISPUTED</t>
        </is>
      </c>
      <c r="G6" t="inlineStr">
        <is>
          <t>Finance Desk</t>
        </is>
      </c>
      <c r="H6" t="inlineStr">
        <is>
          <t>Was APPROVED at USD 400,000 (five locations) on 21 Sep 2026. On ~1 Oct 2026 an agent desk re-based it to USD 100,000 and it went into outbound documents without founder or partner confirmation. The founder's own 2 Oct note (site 2 by March 2027, site 3 by May 2027) contradicts the five-sites-by-Q1-2027 basis of both figures. Per-site cost is itself DISPUTED (FD-002). Neither number may go outbound until the partners confirm one. Raised in "Maji Safi: Cash and Controls, October 2026" as decision 3.</t>
        </is>
      </c>
    </row>
    <row r="7">
      <c r="A7" t="inlineStr">
        <is>
          <t>All-in cost per site</t>
        </is>
      </c>
      <c r="B7" t="inlineStr">
        <is>
          <t>—</t>
        </is>
      </c>
      <c r="C7" t="inlineStr">
        <is>
          <t>USD</t>
        </is>
      </c>
      <c r="D7" t="inlineStr">
        <is>
          <t>—</t>
        </is>
      </c>
      <c r="E7" t="inlineStr">
        <is>
          <t>2026-09-21</t>
        </is>
      </c>
      <c r="F7" s="17" t="inlineStr">
        <is>
          <t>DISPUTED</t>
        </is>
      </c>
      <c r="G7" t="inlineStr">
        <is>
          <t>Finance Desk</t>
        </is>
      </c>
      <c r="H7" t="inlineStr">
        <is>
          <t>Two sources disagree by 4x. The capital file states USD 80,000 all-in per site; the operations file states about USD 20,000 all-in and says that is the number to use with funders. Neither can be certified until the 80,000 is decomposed into plant-and-install versus fully-loaded site. Tracked as FD-002. Blocked by GAP-13 and GAP-16 (cost of sales and overheads are blended figures).</t>
        </is>
      </c>
    </row>
    <row r="8">
      <c r="A8" t="inlineStr">
        <is>
          <t>UNBS certification status</t>
        </is>
      </c>
      <c r="B8" t="inlineStr">
        <is>
          <t>certified</t>
        </is>
      </c>
      <c r="C8" t="inlineStr">
        <is>
          <t>status</t>
        </is>
      </c>
      <c r="D8" t="inlineStr">
        <is>
          <t>Confirmed by the founder, 5 Oct 2026</t>
        </is>
      </c>
      <c r="E8" t="inlineStr">
        <is>
          <t>2026-10-05</t>
        </is>
      </c>
      <c r="F8" s="32" t="inlineStr">
        <is>
          <t>APPROVED</t>
        </is>
      </c>
      <c r="G8" t="inlineStr">
        <is>
          <t>Sammy</t>
        </is>
      </c>
      <c r="H8" t="inlineStr">
        <is>
          <t>Founder confirmed certification on 5 Oct 2026. Add the certificate number and issue date here when filed, so any funder who checks gets the reference.</t>
        </is>
      </c>
    </row>
    <row r="9">
      <c r="A9" t="inlineStr">
        <is>
          <t>Statutory financial year-end</t>
        </is>
      </c>
      <c r="B9" t="inlineStr">
        <is>
          <t>—</t>
        </is>
      </c>
      <c r="C9" t="inlineStr">
        <is>
          <t>date</t>
        </is>
      </c>
      <c r="D9" t="inlineStr">
        <is>
          <t>—</t>
        </is>
      </c>
      <c r="E9" t="inlineStr">
        <is>
          <t>2026-09-21</t>
        </is>
      </c>
      <c r="F9" s="33" t="inlineStr">
        <is>
          <t>UNVERIFIED</t>
        </is>
      </c>
      <c r="G9" t="inlineStr">
        <is>
          <t>Sammy</t>
        </is>
      </c>
      <c r="H9" t="inlineStr">
        <is>
          <t>Not established. Company incorporated October 2024. Until this is known we cannot say which periods FY2025 and FY2026 cover, whether statutory accounts are overdue with URA, or whether FY2026 statements can exist before the December lender deadline. Top blocking item. Tracked as FD-001.</t>
        </is>
      </c>
    </row>
    <row r="10">
      <c r="A10" t="inlineStr">
        <is>
          <t>Full break-even, including the jar programme (month 1)</t>
        </is>
      </c>
      <c r="B10" s="15" t="n">
        <v>577</v>
      </c>
      <c r="C10" t="inlineStr">
        <is>
          <t>jars/day</t>
        </is>
      </c>
      <c r="D10" t="inlineStr">
        <is>
          <t xml:space="preserve">(fixed opex 8,163,542 + salaries 2,575,000 + depreciation 5,250,000 + jar programme 8,250,000) / contribution 1,616.82 per unit / 26 days
</t>
        </is>
      </c>
      <c r="E10" t="inlineStr">
        <is>
          <t>2026-09-08</t>
        </is>
      </c>
      <c r="F10" s="32" t="inlineStr">
        <is>
          <t>APPROVED</t>
        </is>
      </c>
      <c r="G10" t="inlineStr">
        <is>
          <t>Finance Desk</t>
        </is>
      </c>
      <c r="H10" t="inlineStr">
        <is>
          <t>Planned month-1 output is 500/day, so the plan opens 77/day BELOW break-even.</t>
        </is>
      </c>
    </row>
    <row r="11">
      <c r="A11" t="inlineStr">
        <is>
          <t>Cash break-even, including the jar programme (month 1)</t>
        </is>
      </c>
      <c r="B11" s="15" t="n">
        <v>452</v>
      </c>
      <c r="C11" t="inlineStr">
        <is>
          <t>jars/day</t>
        </is>
      </c>
      <c r="D11" t="inlineStr">
        <is>
          <t>Excludes depreciation</t>
        </is>
      </c>
      <c r="E11" t="inlineStr">
        <is>
          <t>2026-09-08</t>
        </is>
      </c>
      <c r="F11" s="32" t="inlineStr">
        <is>
          <t>APPROVED</t>
        </is>
      </c>
      <c r="G11" t="inlineStr">
        <is>
          <t>Finance Desk</t>
        </is>
      </c>
      <c r="H11" t="inlineStr"/>
    </row>
    <row r="12">
      <c r="A12" t="inlineStr">
        <is>
          <t>FY1 net revenue — PLAN</t>
        </is>
      </c>
      <c r="B12" s="15" t="n">
        <v>1807859712</v>
      </c>
      <c r="C12" t="inlineStr">
        <is>
          <t>UGX</t>
        </is>
      </c>
      <c r="D12" t="inlineStr">
        <is>
          <t>Year-1 model, net of VAT and excise per IFRS 15</t>
        </is>
      </c>
      <c r="E12" t="inlineStr">
        <is>
          <t>2026-09-08</t>
        </is>
      </c>
      <c r="F12" s="32" t="inlineStr">
        <is>
          <t>APPROVED</t>
        </is>
      </c>
      <c r="G12" t="inlineStr">
        <is>
          <t>Finance Desk</t>
        </is>
      </c>
      <c r="H12" t="inlineStr">
        <is>
          <t>This is a FORECAST for a company that has not traded. It must always be stated as a plan, never as a result. Nothing may be described as revenue before 1 Oct 2026.</t>
        </is>
      </c>
    </row>
    <row r="13">
      <c r="A13" t="inlineStr">
        <is>
          <t>FY1 lowest cash point — PLAN</t>
        </is>
      </c>
      <c r="B13" s="15" t="n">
        <v>17548449</v>
      </c>
      <c r="C13" t="inlineStr">
        <is>
          <t>UGX</t>
        </is>
      </c>
      <c r="D13" t="inlineStr">
        <is>
          <t>Month 1 of the Year-1 model</t>
        </is>
      </c>
      <c r="E13" t="inlineStr">
        <is>
          <t>2026-09-08</t>
        </is>
      </c>
      <c r="F13" s="32" t="inlineStr">
        <is>
          <t>APPROVED</t>
        </is>
      </c>
      <c r="G13" t="inlineStr">
        <is>
          <t>Finance Desk</t>
        </is>
      </c>
      <c r="H13" t="inlineStr">
        <is>
          <t>No facility, overdraft or committed tranche sits behind this.</t>
        </is>
      </c>
    </row>
    <row r="14">
      <c r="A14" t="inlineStr">
        <is>
          <t>Customer deposits owed at month 12 — PLAN</t>
        </is>
      </c>
      <c r="B14" s="15" t="n">
        <v>157038750</v>
      </c>
      <c r="C14" t="inlineStr">
        <is>
          <t>UGX</t>
        </is>
      </c>
      <c r="D14" t="inlineStr">
        <is>
          <t>Cumulative jar deposits received, no returns modelled</t>
        </is>
      </c>
      <c r="E14" t="inlineStr">
        <is>
          <t>2026-09-08</t>
        </is>
      </c>
      <c r="F14" s="32" t="inlineStr">
        <is>
          <t>APPROVED</t>
        </is>
      </c>
      <c r="G14" t="inlineStr">
        <is>
          <t>Finance Desk</t>
        </is>
      </c>
      <c r="H14" t="inlineStr">
        <is>
          <t>Customers' money, repayable on jar return. Never present it as equity, headroom, distributable profit, or available as security to a lender.</t>
        </is>
      </c>
    </row>
    <row r="15">
      <c r="A15" t="inlineStr">
        <is>
          <t>Minimum cash floor — policy</t>
        </is>
      </c>
      <c r="B15" s="15" t="n">
        <v>20000000</v>
      </c>
      <c r="C15" t="inlineStr">
        <is>
          <t>UGX</t>
        </is>
      </c>
      <c r="D15" t="inlineStr">
        <is>
          <t>Finance Desk policy</t>
        </is>
      </c>
      <c r="E15" t="inlineStr">
        <is>
          <t>2026-09-21</t>
        </is>
      </c>
      <c r="F15" s="32" t="inlineStr">
        <is>
          <t>APPROVED</t>
        </is>
      </c>
      <c r="G15" t="inlineStr">
        <is>
          <t>Finance Desk</t>
        </is>
      </c>
      <c r="H15" t="inlineStr">
        <is>
          <t>Internal policy. Below this the alarm fires and something gets cut.</t>
        </is>
      </c>
    </row>
    <row r="16">
      <c r="A16" t="inlineStr">
        <is>
          <t>Plant and equipment at cost</t>
        </is>
      </c>
      <c r="B16" s="15" t="n">
        <v>315000000</v>
      </c>
      <c r="C16" t="inlineStr">
        <is>
          <t>UGX</t>
        </is>
      </c>
      <c r="D16" t="inlineStr">
        <is>
          <t>Year-1 model opening balance sheet</t>
        </is>
      </c>
      <c r="E16" t="inlineStr">
        <is>
          <t>2026-09-08</t>
        </is>
      </c>
      <c r="F16" s="32" t="inlineStr">
        <is>
          <t>APPROVED</t>
        </is>
      </c>
      <c r="G16" t="inlineStr">
        <is>
          <t>Finance Desk</t>
        </is>
      </c>
      <c r="H16" t="inlineStr">
        <is>
          <t>Already paid for. No Year-1 capex is modelled — see GAP-11.</t>
        </is>
      </c>
    </row>
    <row r="17">
      <c r="A17" t="inlineStr">
        <is>
          <t>Trading status</t>
        </is>
      </c>
      <c r="B17" t="inlineStr">
        <is>
          <t>pre-trading until 2026-10-01</t>
        </is>
      </c>
      <c r="C17" t="inlineStr">
        <is>
          <t>status</t>
        </is>
      </c>
      <c r="D17" t="inlineStr">
        <is>
          <t>Confirmed by founder</t>
        </is>
      </c>
      <c r="E17" t="inlineStr">
        <is>
          <t>2026-09-21</t>
        </is>
      </c>
      <c r="F17" s="32" t="inlineStr">
        <is>
          <t>APPROVED</t>
        </is>
      </c>
      <c r="G17" t="inlineStr">
        <is>
          <t>Sammy</t>
        </is>
      </c>
      <c r="H17" t="inlineStr">
        <is>
          <t>Say this plainly and early. Every financial figure before 1 Oct 2026 is a forecast. A funder who discovers it themselves has found a surprise; a funder told up front has been given a fact.</t>
        </is>
      </c>
    </row>
    <row r="18">
      <c r="A18" t="inlineStr">
        <is>
          <t>FY2025 and FY2026 statutory financial statements</t>
        </is>
      </c>
      <c r="B18" t="inlineStr">
        <is>
          <t>—</t>
        </is>
      </c>
      <c r="C18" t="inlineStr">
        <is>
          <t>status</t>
        </is>
      </c>
      <c r="D18" t="inlineStr">
        <is>
          <t>—</t>
        </is>
      </c>
      <c r="E18" t="inlineStr">
        <is>
          <t>2026-09-21</t>
        </is>
      </c>
      <c r="F18" s="33" t="inlineStr">
        <is>
          <t>UNVERIFIED</t>
        </is>
      </c>
      <c r="G18" t="inlineStr">
        <is>
          <t>Sammy</t>
        </is>
      </c>
      <c r="H18" t="inlineStr">
        <is>
          <t>Nobody currently keeps the books. These statements appear never to have been prepared. Do not promise them to any lender or funder with a date until an accountant is appointed and the year-end is established. Tracked as FD-001.</t>
        </is>
      </c>
    </row>
    <row r="20">
      <c r="A20" s="3" t="inlineStr">
        <is>
          <t>APPROVED — use it, and quote the as-of date.</t>
        </is>
      </c>
    </row>
    <row r="21">
      <c r="A21" s="3" t="inlineStr">
        <is>
          <t>DISPUTED — two sources disagree and the Finance Desk has not ruled. Do not use it anywhere, internal or external.</t>
        </is>
      </c>
    </row>
    <row r="22">
      <c r="A22" s="3" t="inlineStr">
        <is>
          <t>UNVERIFIED — not usable externally. Internally, mark it [UNVERIFIED].</t>
        </is>
      </c>
    </row>
    <row r="23">
      <c r="A23" s="3" t="inlineStr">
        <is>
          <t>EMBARGOED — do not use it, and do not use anything derived from it. The reason is recorded.</t>
        </is>
      </c>
    </row>
    <row r="24">
      <c r="A24" s="3" t="inlineStr"/>
    </row>
    <row r="25">
      <c r="A25" s="3" t="inlineStr">
        <is>
          <t>Authority granted by Sammy Ghedamu, founder, 21 September 2026, after a 4x spread on the headline ask sat live in two files during a week when eight funders were emailed.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2026-10-05T11:17:10Z</dcterms:created>
  <dcterms:modified xmlns:dcterms="http://purl.org/dc/terms/" xmlns:xsi="http://www.w3.org/2001/XMLSchema-instance" xsi:type="dcterms:W3CDTF">2026-10-05T11:17:11Z</dcterms:modified>
</cp:coreProperties>
</file>