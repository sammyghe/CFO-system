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P&amp;L" sheetId="3" state="visible" r:id="rId3"/>
    <sheet name="BALANCE SHEET" sheetId="4" state="visible" r:id="rId4"/>
    <sheet name="CASH FLOW" sheetId="5" state="visible" r:id="rId5"/>
    <sheet name="BREAK-EVEN" sheetId="6" state="visible" r:id="rId6"/>
    <sheet name="13-WEEK CASH" sheetId="7" state="visible" r:id="rId7"/>
    <sheet name="13-MONTH CASH" sheetId="8" state="visible" r:id="rId8"/>
    <sheet name="RATIOS" sheetId="9" state="visible" r:id="rId9"/>
    <sheet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;[Red]-#,##0"/>
    <numFmt numFmtId="166" formatCode="0.00&quot;x&quot;"/>
    <numFmt numFmtId="167" formatCode="0.0&quot;d&quot;"/>
    <numFmt numFmtId="168" formatCode="&quot;M&quot;0"/>
  </numFmts>
  <fonts count="5">
    <font>
      <name val="Calibri"/>
      <family val="2"/>
      <color theme="1"/>
      <sz val="11"/>
      <scheme val="minor"/>
    </font>
    <font>
      <b val="1"/>
      <color rgb="FF1F3864"/>
      <sz val="14"/>
    </font>
    <font>
      <b val="1"/>
    </font>
    <font>
      <i val="1"/>
      <color rgb="FF808080"/>
      <sz val="9"/>
    </font>
    <font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DE9D9"/>
      </patternFill>
    </fill>
  </fills>
  <borders count="2">
    <border>
      <left/>
      <right/>
      <top/>
      <bottom/>
      <diagonal/>
    </border>
    <border>
      <bottom style="thin">
        <color rgb="FF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64" fontId="2" fillId="3" borderId="0" pivotButton="0" quotePrefix="0" xfId="0"/>
    <xf numFmtId="3" fontId="0" fillId="4" borderId="0" pivotButton="0" quotePrefix="0" xfId="0"/>
    <xf numFmtId="4" fontId="0" fillId="4" borderId="0" pivotButton="0" quotePrefix="0" xfId="0"/>
    <xf numFmtId="3" fontId="2" fillId="0" borderId="0" pivotButton="0" quotePrefix="0" xfId="0"/>
    <xf numFmtId="164" fontId="0" fillId="4" borderId="0" pivotButton="0" quotePrefix="0" xfId="0"/>
    <xf numFmtId="3" fontId="0" fillId="3" borderId="0" pivotButton="0" quotePrefix="0" xfId="0"/>
    <xf numFmtId="165" fontId="0" fillId="4" borderId="0" pivotButton="0" quotePrefix="0" xfId="0"/>
    <xf numFmtId="165" fontId="2" fillId="3" borderId="0" pivotButton="0" quotePrefix="0" xfId="0"/>
    <xf numFmtId="3" fontId="2" fillId="3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center"/>
    </xf>
    <xf numFmtId="3" fontId="0" fillId="0" borderId="0" pivotButton="0" quotePrefix="0" xfId="0"/>
    <xf numFmtId="165" fontId="2" fillId="0" borderId="0" pivotButton="0" quotePrefix="0" xfId="0"/>
    <xf numFmtId="165" fontId="2" fillId="5" borderId="0" pivotButton="0" quotePrefix="0" xfId="0"/>
    <xf numFmtId="164" fontId="0" fillId="0" borderId="0" pivotButton="0" quotePrefix="0" xfId="0"/>
    <xf numFmtId="164" fontId="2" fillId="0" borderId="0" pivotButton="0" quotePrefix="0" xfId="0"/>
    <xf numFmtId="165" fontId="2" fillId="6" borderId="0" pivotButton="0" quotePrefix="0" xfId="0"/>
    <xf numFmtId="0" fontId="2" fillId="6" borderId="0" pivotButton="0" quotePrefix="0" xfId="0"/>
    <xf numFmtId="4" fontId="2" fillId="0" borderId="0" pivotButton="0" quotePrefix="0" xfId="0"/>
    <xf numFmtId="165" fontId="0" fillId="3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Maji Safi — One Site Financial Model</t>
        </is>
      </c>
    </row>
    <row r="2">
      <c r="A2" t="inlineStr">
        <is>
          <t>Safiflow Ventures Group Limited, t/a Maji Safi · Lukuli Road, Buziga, Kampala</t>
        </is>
      </c>
    </row>
    <row r="3">
      <c r="A3" s="2" t="inlineStr">
        <is>
          <t>BLANK TEMPLATE — fill it in</t>
        </is>
      </c>
    </row>
    <row r="4">
      <c r="A4" t="inlineStr"/>
    </row>
    <row r="5">
      <c r="A5" s="2" t="inlineStr">
        <is>
          <t>HOW THIS WORKBOOK WORKS</t>
        </is>
      </c>
    </row>
    <row r="6">
      <c r="A6" t="inlineStr">
        <is>
          <t>You type in ONE tab only: ASSUMPTIONS. Yellow cells are inputs. Everything else is a formula.</t>
        </is>
      </c>
    </row>
    <row r="7">
      <c r="A7" t="inlineStr">
        <is>
          <t>Change a yellow cell and the P&amp;L, balance sheet, cash flow, break-even and ratios all move.</t>
        </is>
      </c>
    </row>
    <row r="8">
      <c r="A8" t="inlineStr">
        <is>
          <t>This is the fix for the old workbook, which was a snapshot that did not recompute.</t>
        </is>
      </c>
    </row>
    <row r="9">
      <c r="A9" t="inlineStr"/>
    </row>
    <row r="10">
      <c r="A10" s="2" t="inlineStr">
        <is>
          <t>THE SCENARIO SWITCH</t>
        </is>
      </c>
    </row>
    <row r="11">
      <c r="A11" t="inlineStr">
        <is>
          <t>ASSUMPTIONS cell C5 is a single volume multiplier. Set it to 60% and read the cash line.</t>
        </is>
      </c>
    </row>
    <row r="12">
      <c r="A12" t="inlineStr">
        <is>
          <t>That is the answer to 'what happens if we miss plan' — live, in the meeting, not after a rebuild.</t>
        </is>
      </c>
    </row>
    <row r="13">
      <c r="A13" t="inlineStr"/>
    </row>
    <row r="14">
      <c r="A14" s="2" t="inlineStr">
        <is>
          <t>TABS</t>
        </is>
      </c>
    </row>
    <row r="15">
      <c r="A15" t="inlineStr">
        <is>
          <t xml:space="preserve">  ASSUMPTIONS   every input. The only place you type.</t>
        </is>
      </c>
    </row>
    <row r="16">
      <c r="A16" t="inlineStr">
        <is>
          <t xml:space="preserve">  P&amp;L           twelve-month statement of profit or loss</t>
        </is>
      </c>
    </row>
    <row r="17">
      <c r="A17" t="inlineStr">
        <is>
          <t xml:space="preserve">  BALANCE SHEET twelve-month position. The CHECK row must read zero.</t>
        </is>
      </c>
    </row>
    <row r="18">
      <c r="A18" t="inlineStr">
        <is>
          <t xml:space="preserve">  CASH FLOW     twelve-month statement of cash flows</t>
        </is>
      </c>
    </row>
    <row r="19">
      <c r="A19" t="inlineStr">
        <is>
          <t xml:space="preserve">  13-WEEK CASH  the rolling weekly forecast. Revise it every Friday.</t>
        </is>
      </c>
    </row>
    <row r="20">
      <c r="A20" t="inlineStr">
        <is>
          <t xml:space="preserve">  BREAK-EVEN    jars/day needed, with and without the jar programme</t>
        </is>
      </c>
    </row>
    <row r="21">
      <c r="A21" t="inlineStr">
        <is>
          <t xml:space="preserve">  RATIOS        the four families from CFO100 Session 3</t>
        </is>
      </c>
    </row>
    <row r="22">
      <c r="A22" t="inlineStr">
        <is>
          <t xml:space="preserve">  CHECKS        integrity checks and what is input vs derived</t>
        </is>
      </c>
    </row>
    <row r="23">
      <c r="A23" t="inlineStr"/>
    </row>
    <row r="24">
      <c r="A24" s="2" t="inlineStr">
        <is>
          <t>RULES THAT GOVERN THE NUMBERS</t>
        </is>
      </c>
    </row>
    <row r="25">
      <c r="A25" t="inlineStr">
        <is>
          <t>1. Revenue is NET of VAT and excise. Those are collected for URA and are never our revenue.</t>
        </is>
      </c>
    </row>
    <row r="26">
      <c r="A26" t="inlineStr">
        <is>
          <t>2. The 20L jar is a DEPOSIT, never revenue. It is a liability, repayable when the jar returns.</t>
        </is>
      </c>
    </row>
    <row r="27">
      <c r="A27" t="inlineStr">
        <is>
          <t>3. The jar cost is expensed in full on issue, not capitalised.</t>
        </is>
      </c>
    </row>
    <row r="28">
      <c r="A28" t="inlineStr">
        <is>
          <t>4. Water in a reusable jar is always a refill, including the first fill.</t>
        </is>
      </c>
    </row>
    <row r="29">
      <c r="A29" t="inlineStr">
        <is>
          <t>5. B2B has a list price and a floor earned on LAST month's volume. B2C has one price, no discount.</t>
        </is>
      </c>
    </row>
    <row r="30">
      <c r="A30" t="inlineStr">
        <is>
          <t>6. A deposit is never discounted.</t>
        </is>
      </c>
    </row>
    <row r="31">
      <c r="A31" t="inlineStr"/>
    </row>
    <row r="32">
      <c r="A32" s="2" t="inlineStr">
        <is>
          <t>WHAT IS NOT IN HERE YET — add these, do not pretend they are zero</t>
        </is>
      </c>
    </row>
    <row r="33">
      <c r="A33" t="inlineStr">
        <is>
          <t xml:space="preserve">  Jar return / attrition rate and deposit refunds (currently modelled as zero refunds)</t>
        </is>
      </c>
    </row>
    <row r="34">
      <c r="A34" t="inlineStr">
        <is>
          <t xml:space="preserve">  Trade receivables and a bad-debt provision (currently zero — every sale is cash)</t>
        </is>
      </c>
    </row>
    <row r="35">
      <c r="A35" t="inlineStr">
        <is>
          <t xml:space="preserve">  Trade payables (currently zero — we pay everyone immediately)</t>
        </is>
      </c>
    </row>
    <row r="36">
      <c r="A36" t="inlineStr">
        <is>
          <t xml:space="preserve">  Maintenance capex and membrane/filter replacement (currently zero in Year 1)</t>
        </is>
      </c>
    </row>
    <row r="37">
      <c r="A37" t="inlineStr">
        <is>
          <t xml:space="preserve">  NSSF employer contribution at the statutory 10%, and Local Service Tax</t>
        </is>
      </c>
    </row>
    <row r="38">
      <c r="A38" s="3" t="inlineStr">
        <is>
          <t xml:space="preserve">  Rows exist for the first three. They are set to zero so the gap is visible, not hidden.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46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7" customWidth="1" min="15" max="15"/>
  </cols>
  <sheetData>
    <row r="1">
      <c r="A1" s="1" t="inlineStr">
        <is>
          <t>ASSUMPTIONS — the only tab you type in</t>
        </is>
      </c>
    </row>
    <row r="2">
      <c r="A2" s="3" t="inlineStr">
        <is>
          <t>Renew convention: BLUE = input · black = formula · YELLOW = live-edit decision cell.</t>
        </is>
      </c>
    </row>
    <row r="4">
      <c r="A4" s="4" t="inlineStr">
        <is>
          <t>SCENARIO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t="inlineStr">
        <is>
          <t>Volume scenario multiplier</t>
        </is>
      </c>
      <c r="B5" s="3" t="inlineStr">
        <is>
          <t>100% = plan</t>
        </is>
      </c>
      <c r="C5" s="6" t="n"/>
    </row>
    <row r="6">
      <c r="A6" s="3" t="inlineStr">
        <is>
          <t>Set to 0.6 to see the downside. Every tab reacts. Set back to 1.0 for the plan.</t>
        </is>
      </c>
    </row>
    <row r="8">
      <c r="A8" s="4" t="inlineStr">
        <is>
          <t>VOLUME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t="inlineStr">
        <is>
          <t>Operating days per month</t>
        </is>
      </c>
      <c r="B9" s="3" t="inlineStr">
        <is>
          <t>days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t="inlineStr">
        <is>
          <t>Jars per day — plan</t>
        </is>
      </c>
      <c r="B10" s="3" t="inlineStr">
        <is>
          <t>jars/day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2" t="inlineStr">
        <is>
          <t>UNITS PER MONTH</t>
        </is>
      </c>
      <c r="B11" s="3" t="inlineStr">
        <is>
          <t>units</t>
        </is>
      </c>
      <c r="C11" s="9">
        <f>C9*C10*$C$5</f>
        <v/>
      </c>
      <c r="D11" s="9">
        <f>D9*D10*$C$5</f>
        <v/>
      </c>
      <c r="E11" s="9">
        <f>E9*E10*$C$5</f>
        <v/>
      </c>
      <c r="F11" s="9">
        <f>F9*F10*$C$5</f>
        <v/>
      </c>
      <c r="G11" s="9">
        <f>G9*G10*$C$5</f>
        <v/>
      </c>
      <c r="H11" s="9">
        <f>H9*H10*$C$5</f>
        <v/>
      </c>
      <c r="I11" s="9">
        <f>I9*I10*$C$5</f>
        <v/>
      </c>
      <c r="J11" s="9">
        <f>J9*J10*$C$5</f>
        <v/>
      </c>
      <c r="K11" s="9">
        <f>K9*K10*$C$5</f>
        <v/>
      </c>
      <c r="L11" s="9">
        <f>L9*L10*$C$5</f>
        <v/>
      </c>
      <c r="M11" s="9">
        <f>M9*M10*$C$5</f>
        <v/>
      </c>
      <c r="N11" s="9">
        <f>N9*N10*$C$5</f>
        <v/>
      </c>
      <c r="O11" s="9">
        <f>SUM(C11:N11)</f>
        <v/>
      </c>
    </row>
    <row r="12">
      <c r="A12" s="3" t="inlineStr">
        <is>
          <t>M1 = 500/day and M12 = 2,000/day are from the source model. M2-M11 are a straight-line ramp, DERIVED here — replace them with what sales can actually commit to.</t>
        </is>
      </c>
    </row>
    <row r="14">
      <c r="A14" s="4" t="inlineStr">
        <is>
          <t>PRICE AND COST PER UNIT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t="inlineStr">
        <is>
          <t>Net revenue per unit</t>
        </is>
      </c>
      <c r="B15" s="3" t="inlineStr">
        <is>
          <t>UGX/unit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t="inlineStr">
        <is>
          <t>Cost of sales per unit, net of input VAT</t>
        </is>
      </c>
      <c r="B16" s="3" t="inlineStr">
        <is>
          <t>UGX/unit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t="inlineStr">
        <is>
          <t>URA uplift — VAT + excise on net revenue</t>
        </is>
      </c>
      <c r="B17" s="3" t="inlineStr">
        <is>
          <t>% of net rev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3" t="inlineStr">
        <is>
          <t>Revenue per unit FALLS across the year as the mix shifts to refill and B2C. That is intended, not an error.</t>
        </is>
      </c>
    </row>
    <row r="20">
      <c r="A20" s="4" t="inlineStr">
        <is>
          <t>JAR DEPOSIT PROGRAMME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t="inlineStr">
        <is>
          <t>LIVE EDIT — new jars issued per month</t>
        </is>
      </c>
      <c r="B21" s="3" t="inlineStr">
        <is>
          <t>jars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>
      <c r="A22" t="inlineStr">
        <is>
          <t>Jar cost — expensed on issue</t>
        </is>
      </c>
      <c r="B22" s="3" t="inlineStr">
        <is>
          <t>UGX/jar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t="inlineStr">
        <is>
          <t>Average deposit taken per jar</t>
        </is>
      </c>
      <c r="B23" s="3" t="inlineStr">
        <is>
          <t>UGX/jar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t="inlineStr">
        <is>
          <t>Jars RETURNED and refunded per month</t>
        </is>
      </c>
      <c r="B24" s="3" t="inlineStr">
        <is>
          <t>jars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3" t="inlineStr">
        <is>
          <t>Returns are set to ZERO. That is a known gap, not a fact. Put a real number here the moment you have one — every returned jar is cash out with no revenue against it.</t>
        </is>
      </c>
    </row>
    <row r="27">
      <c r="A27" s="4" t="inlineStr">
        <is>
          <t>OVERHEADS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t="inlineStr">
        <is>
          <t>Fixed operating costs</t>
        </is>
      </c>
      <c r="B28" s="3" t="inlineStr">
        <is>
          <t>UGX/month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t="inlineStr">
        <is>
          <t>Base payroll, before the hiring step</t>
        </is>
      </c>
      <c r="B29" s="3" t="inlineStr">
        <is>
          <t>UGX/month</t>
        </is>
      </c>
      <c r="C29" s="12" t="n"/>
    </row>
    <row r="30">
      <c r="A30" t="inlineStr">
        <is>
          <t>LIVE EDIT — additional payroll from hiring</t>
        </is>
      </c>
      <c r="B30" s="3" t="inlineStr">
        <is>
          <t>UGX/month; set 0 for no-hire</t>
        </is>
      </c>
      <c r="C30" s="13" t="n"/>
    </row>
    <row r="31">
      <c r="A31" t="inlineStr">
        <is>
          <t>Hiring takes effect starting month #</t>
        </is>
      </c>
      <c r="B31" s="3" t="inlineStr">
        <is>
          <t>month</t>
        </is>
      </c>
      <c r="C31" s="14" t="n"/>
    </row>
    <row r="32">
      <c r="A32" t="inlineStr">
        <is>
          <t>Salaries and wages (computed)</t>
        </is>
      </c>
      <c r="B32" s="3" t="inlineStr">
        <is>
          <t>UGX/month</t>
        </is>
      </c>
      <c r="C32" s="15">
        <f>$C$29+IF(1&gt;=$C$31,$C$30,0)</f>
        <v/>
      </c>
      <c r="D32" s="15">
        <f>$C$29+IF(2&gt;=$C$31,$C$30,0)</f>
        <v/>
      </c>
      <c r="E32" s="15">
        <f>$C$29+IF(3&gt;=$C$31,$C$30,0)</f>
        <v/>
      </c>
      <c r="F32" s="15">
        <f>$C$29+IF(4&gt;=$C$31,$C$30,0)</f>
        <v/>
      </c>
      <c r="G32" s="15">
        <f>$C$29+IF(5&gt;=$C$31,$C$30,0)</f>
        <v/>
      </c>
      <c r="H32" s="15">
        <f>$C$29+IF(6&gt;=$C$31,$C$30,0)</f>
        <v/>
      </c>
      <c r="I32" s="15">
        <f>$C$29+IF(7&gt;=$C$31,$C$30,0)</f>
        <v/>
      </c>
      <c r="J32" s="15">
        <f>$C$29+IF(8&gt;=$C$31,$C$30,0)</f>
        <v/>
      </c>
      <c r="K32" s="15">
        <f>$C$29+IF(9&gt;=$C$31,$C$30,0)</f>
        <v/>
      </c>
      <c r="L32" s="15">
        <f>$C$29+IF(10&gt;=$C$31,$C$30,0)</f>
        <v/>
      </c>
      <c r="M32" s="15">
        <f>$C$29+IF(11&gt;=$C$31,$C$30,0)</f>
        <v/>
      </c>
      <c r="N32" s="15">
        <f>$C$29+IF(12&gt;=$C$31,$C$30,0)</f>
        <v/>
      </c>
    </row>
    <row r="33">
      <c r="A33" t="inlineStr">
        <is>
          <t>Transaction fees</t>
        </is>
      </c>
      <c r="B33" s="3" t="inlineStr">
        <is>
          <t>% of gross billings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3" t="inlineStr">
        <is>
          <t>Salaries step 5.3x at M5. NSSF employer is recorded at 5%; the statutory rate is 10% — CONFIRM and correct here.</t>
        </is>
      </c>
    </row>
    <row r="36">
      <c r="A36" s="4" t="inlineStr">
        <is>
          <t>WORKING CAPITAL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t="inlineStr">
        <is>
          <t>Inventory days on hand (DIO)</t>
        </is>
      </c>
      <c r="B37" s="3" t="inlineStr">
        <is>
          <t>days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t="inlineStr">
        <is>
          <t>Debtor days (DSO)</t>
        </is>
      </c>
      <c r="B38" s="3" t="inlineStr">
        <is>
          <t>days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t="inlineStr">
        <is>
          <t>Creditor days (DPO)</t>
        </is>
      </c>
      <c r="B39" s="3" t="inlineStr">
        <is>
          <t>days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3" t="inlineStr">
        <is>
          <t>DSO and DPO are ZERO — we pay instantly and are paid instantly. The most fragile shape possible. One institution on 30 days and this stops being true.</t>
        </is>
      </c>
    </row>
    <row r="42">
      <c r="A42" s="4" t="inlineStr">
        <is>
          <t>CAPITAL, TAX AND POLICY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t="inlineStr">
        <is>
          <t>Plant and equipment at cost</t>
        </is>
      </c>
      <c r="B43" s="3" t="inlineStr">
        <is>
          <t>UGX</t>
        </is>
      </c>
      <c r="C43" s="12" t="n"/>
    </row>
    <row r="44">
      <c r="A44" t="inlineStr">
        <is>
          <t>Depreciation life</t>
        </is>
      </c>
      <c r="B44" s="3" t="inlineStr">
        <is>
          <t>months</t>
        </is>
      </c>
      <c r="C44" s="7" t="n"/>
    </row>
    <row r="45">
      <c r="A45" t="inlineStr">
        <is>
          <t>Corporate income tax rate</t>
        </is>
      </c>
      <c r="B45" s="3" t="inlineStr">
        <is>
          <t>of taxable profit</t>
        </is>
      </c>
      <c r="C45" s="10" t="n"/>
    </row>
    <row r="46">
      <c r="A46" t="inlineStr">
        <is>
          <t>Opening cash</t>
        </is>
      </c>
      <c r="B46" s="3" t="inlineStr">
        <is>
          <t>UGX</t>
        </is>
      </c>
      <c r="C46" s="12" t="n"/>
    </row>
    <row r="47">
      <c r="A47" t="inlineStr">
        <is>
          <t>Opening inventory</t>
        </is>
      </c>
      <c r="B47" s="3" t="inlineStr">
        <is>
          <t>UGX</t>
        </is>
      </c>
      <c r="C47" s="12" t="n"/>
    </row>
    <row r="48">
      <c r="A48" t="inlineStr">
        <is>
          <t>MINIMUM CASH FLOOR — policy</t>
        </is>
      </c>
      <c r="B48" s="3" t="inlineStr">
        <is>
          <t>UGX</t>
        </is>
      </c>
      <c r="C48" s="12" t="n"/>
    </row>
    <row r="49">
      <c r="A49" t="inlineStr">
        <is>
          <t>LIVE EDIT — Site 2 / expansion capex</t>
        </is>
      </c>
      <c r="B49" s="3" t="inlineStr">
        <is>
          <t>UGX</t>
        </is>
      </c>
      <c r="C49" s="13" t="n"/>
    </row>
    <row r="50">
      <c r="A50" t="inlineStr">
        <is>
          <t>Capex month #</t>
        </is>
      </c>
      <c r="B50" s="3" t="inlineStr">
        <is>
          <t>month</t>
        </is>
      </c>
      <c r="C50" s="14" t="n"/>
    </row>
    <row r="51">
      <c r="A51" t="inlineStr">
        <is>
          <t>Capital expenditure (computed)</t>
        </is>
      </c>
      <c r="B51" s="3" t="inlineStr">
        <is>
          <t>UGX/month</t>
        </is>
      </c>
      <c r="C51" s="15">
        <f>IF(1=$C$50,$C$49,0)</f>
        <v/>
      </c>
      <c r="D51" s="15">
        <f>IF(2=$C$50,$C$49,0)</f>
        <v/>
      </c>
      <c r="E51" s="15">
        <f>IF(3=$C$50,$C$49,0)</f>
        <v/>
      </c>
      <c r="F51" s="15">
        <f>IF(4=$C$50,$C$49,0)</f>
        <v/>
      </c>
      <c r="G51" s="15">
        <f>IF(5=$C$50,$C$49,0)</f>
        <v/>
      </c>
      <c r="H51" s="15">
        <f>IF(6=$C$50,$C$49,0)</f>
        <v/>
      </c>
      <c r="I51" s="15">
        <f>IF(7=$C$50,$C$49,0)</f>
        <v/>
      </c>
      <c r="J51" s="15">
        <f>IF(8=$C$50,$C$49,0)</f>
        <v/>
      </c>
      <c r="K51" s="15">
        <f>IF(9=$C$50,$C$49,0)</f>
        <v/>
      </c>
      <c r="L51" s="15">
        <f>IF(10=$C$50,$C$49,0)</f>
        <v/>
      </c>
      <c r="M51" s="15">
        <f>IF(11=$C$50,$C$49,0)</f>
        <v/>
      </c>
      <c r="N51" s="15">
        <f>IF(12=$C$50,$C$49,0)</f>
        <v/>
      </c>
    </row>
    <row r="52">
      <c r="A52" s="3" t="inlineStr">
        <is>
          <t>Capex is ZERO for Year 1. A UF plant running 2,000 jars/day consumes membranes and filters. Put the replacement schedule in here.</t>
        </is>
      </c>
    </row>
    <row r="53">
      <c r="A53" s="3" t="inlineStr">
        <is>
          <t>THE STRUCTURAL QUESTION this model exists to surface (Renew's phrasing, applied to us): is the hiring step-up at month 5 PLUS the jar programme affordable given the volume ramp? Unlike the 13-week model, the fix here is not a timing trick — it is a decision about the pace of expansion.</t>
        </is>
      </c>
    </row>
    <row r="54">
      <c r="A54" s="3" t="inlineStr">
        <is>
          <t>Tax accrues monthly on cumulative profit (losses carried forward) and is PAID QUARTERLY in M3, M6, M9, M12.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46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7" customWidth="1" min="15" max="15"/>
  </cols>
  <sheetData>
    <row r="1">
      <c r="A1" s="1" t="inlineStr">
        <is>
          <t>STATEMENT OF PROFIT OR LOSS</t>
        </is>
      </c>
    </row>
    <row r="2">
      <c r="A2" s="3" t="inlineStr">
        <is>
          <t>UGX · net of VAT and excise · every cell is a formula</t>
        </is>
      </c>
    </row>
    <row r="4">
      <c r="A4" s="2" t="inlineStr"/>
      <c r="C4" s="16" t="inlineStr">
        <is>
          <t>M1</t>
        </is>
      </c>
      <c r="D4" s="16" t="inlineStr">
        <is>
          <t>M2</t>
        </is>
      </c>
      <c r="E4" s="16" t="inlineStr">
        <is>
          <t>M3</t>
        </is>
      </c>
      <c r="F4" s="16" t="inlineStr">
        <is>
          <t>M4</t>
        </is>
      </c>
      <c r="G4" s="16" t="inlineStr">
        <is>
          <t>M5</t>
        </is>
      </c>
      <c r="H4" s="16" t="inlineStr">
        <is>
          <t>M6</t>
        </is>
      </c>
      <c r="I4" s="16" t="inlineStr">
        <is>
          <t>M7</t>
        </is>
      </c>
      <c r="J4" s="16" t="inlineStr">
        <is>
          <t>M8</t>
        </is>
      </c>
      <c r="K4" s="16" t="inlineStr">
        <is>
          <t>M9</t>
        </is>
      </c>
      <c r="L4" s="16" t="inlineStr">
        <is>
          <t>M10</t>
        </is>
      </c>
      <c r="M4" s="16" t="inlineStr">
        <is>
          <t>M11</t>
        </is>
      </c>
      <c r="N4" s="16" t="inlineStr">
        <is>
          <t>M12</t>
        </is>
      </c>
      <c r="O4" s="16" t="inlineStr">
        <is>
          <t>YEAR 1</t>
        </is>
      </c>
    </row>
    <row r="5">
      <c r="A5" t="inlineStr">
        <is>
          <t>Units sold</t>
        </is>
      </c>
      <c r="B5" s="3" t="inlineStr">
        <is>
          <t>units</t>
        </is>
      </c>
      <c r="C5" s="17">
        <f>ASSUMPTIONS!C11</f>
        <v/>
      </c>
      <c r="D5" s="17">
        <f>ASSUMPTIONS!D11</f>
        <v/>
      </c>
      <c r="E5" s="17">
        <f>ASSUMPTIONS!E11</f>
        <v/>
      </c>
      <c r="F5" s="17">
        <f>ASSUMPTIONS!F11</f>
        <v/>
      </c>
      <c r="G5" s="17">
        <f>ASSUMPTIONS!G11</f>
        <v/>
      </c>
      <c r="H5" s="17">
        <f>ASSUMPTIONS!H11</f>
        <v/>
      </c>
      <c r="I5" s="17">
        <f>ASSUMPTIONS!I11</f>
        <v/>
      </c>
      <c r="J5" s="17">
        <f>ASSUMPTIONS!J11</f>
        <v/>
      </c>
      <c r="K5" s="17">
        <f>ASSUMPTIONS!K11</f>
        <v/>
      </c>
      <c r="L5" s="17">
        <f>ASSUMPTIONS!L11</f>
        <v/>
      </c>
      <c r="M5" s="17">
        <f>ASSUMPTIONS!M11</f>
        <v/>
      </c>
      <c r="N5" s="17">
        <f>ASSUMPTIONS!N11</f>
        <v/>
      </c>
      <c r="O5" s="9">
        <f>SUM(C5:N5)</f>
        <v/>
      </c>
    </row>
    <row r="6">
      <c r="A6" s="2" t="inlineStr">
        <is>
          <t>NET REVENUE</t>
        </is>
      </c>
      <c r="B6" s="3" t="inlineStr">
        <is>
          <t>UGX</t>
        </is>
      </c>
      <c r="C6" s="18">
        <f>ASSUMPTIONS!C11*ASSUMPTIONS!C15</f>
        <v/>
      </c>
      <c r="D6" s="18">
        <f>ASSUMPTIONS!D11*ASSUMPTIONS!D15</f>
        <v/>
      </c>
      <c r="E6" s="18">
        <f>ASSUMPTIONS!E11*ASSUMPTIONS!E15</f>
        <v/>
      </c>
      <c r="F6" s="18">
        <f>ASSUMPTIONS!F11*ASSUMPTIONS!F15</f>
        <v/>
      </c>
      <c r="G6" s="18">
        <f>ASSUMPTIONS!G11*ASSUMPTIONS!G15</f>
        <v/>
      </c>
      <c r="H6" s="18">
        <f>ASSUMPTIONS!H11*ASSUMPTIONS!H15</f>
        <v/>
      </c>
      <c r="I6" s="18">
        <f>ASSUMPTIONS!I11*ASSUMPTIONS!I15</f>
        <v/>
      </c>
      <c r="J6" s="18">
        <f>ASSUMPTIONS!J11*ASSUMPTIONS!J15</f>
        <v/>
      </c>
      <c r="K6" s="18">
        <f>ASSUMPTIONS!K11*ASSUMPTIONS!K15</f>
        <v/>
      </c>
      <c r="L6" s="18">
        <f>ASSUMPTIONS!L11*ASSUMPTIONS!L15</f>
        <v/>
      </c>
      <c r="M6" s="18">
        <f>ASSUMPTIONS!M11*ASSUMPTIONS!M15</f>
        <v/>
      </c>
      <c r="N6" s="18">
        <f>ASSUMPTIONS!N11*ASSUMPTIONS!N15</f>
        <v/>
      </c>
      <c r="O6" s="18">
        <f>SUM(C6:N6)</f>
        <v/>
      </c>
    </row>
    <row r="7">
      <c r="A7" t="inlineStr">
        <is>
          <t xml:space="preserve">  memo: gross billings (VAT-inclusive)</t>
        </is>
      </c>
      <c r="B7" s="3" t="inlineStr">
        <is>
          <t>UGX</t>
        </is>
      </c>
      <c r="C7" s="15">
        <f>C6*(1+ASSUMPTIONS!C17)</f>
        <v/>
      </c>
      <c r="D7" s="15">
        <f>D6*(1+ASSUMPTIONS!D17)</f>
        <v/>
      </c>
      <c r="E7" s="15">
        <f>E6*(1+ASSUMPTIONS!E17)</f>
        <v/>
      </c>
      <c r="F7" s="15">
        <f>F6*(1+ASSUMPTIONS!F17)</f>
        <v/>
      </c>
      <c r="G7" s="15">
        <f>G6*(1+ASSUMPTIONS!G17)</f>
        <v/>
      </c>
      <c r="H7" s="15">
        <f>H6*(1+ASSUMPTIONS!H17)</f>
        <v/>
      </c>
      <c r="I7" s="15">
        <f>I6*(1+ASSUMPTIONS!I17)</f>
        <v/>
      </c>
      <c r="J7" s="15">
        <f>J6*(1+ASSUMPTIONS!J17)</f>
        <v/>
      </c>
      <c r="K7" s="15">
        <f>K6*(1+ASSUMPTIONS!K17)</f>
        <v/>
      </c>
      <c r="L7" s="15">
        <f>L6*(1+ASSUMPTIONS!L17)</f>
        <v/>
      </c>
      <c r="M7" s="15">
        <f>M6*(1+ASSUMPTIONS!M17)</f>
        <v/>
      </c>
      <c r="N7" s="15">
        <f>N6*(1+ASSUMPTIONS!N17)</f>
        <v/>
      </c>
      <c r="O7" s="18">
        <f>SUM(C7:N7)</f>
        <v/>
      </c>
    </row>
    <row r="8">
      <c r="A8" t="inlineStr">
        <is>
          <t xml:space="preserve">  memo: VAT and excise collected for URA</t>
        </is>
      </c>
      <c r="B8" s="3" t="inlineStr">
        <is>
          <t>UGX</t>
        </is>
      </c>
      <c r="C8" s="15">
        <f>C6*ASSUMPTIONS!C17</f>
        <v/>
      </c>
      <c r="D8" s="15">
        <f>D6*ASSUMPTIONS!D17</f>
        <v/>
      </c>
      <c r="E8" s="15">
        <f>E6*ASSUMPTIONS!E17</f>
        <v/>
      </c>
      <c r="F8" s="15">
        <f>F6*ASSUMPTIONS!F17</f>
        <v/>
      </c>
      <c r="G8" s="15">
        <f>G6*ASSUMPTIONS!G17</f>
        <v/>
      </c>
      <c r="H8" s="15">
        <f>H6*ASSUMPTIONS!H17</f>
        <v/>
      </c>
      <c r="I8" s="15">
        <f>I6*ASSUMPTIONS!I17</f>
        <v/>
      </c>
      <c r="J8" s="15">
        <f>J6*ASSUMPTIONS!J17</f>
        <v/>
      </c>
      <c r="K8" s="15">
        <f>K6*ASSUMPTIONS!K17</f>
        <v/>
      </c>
      <c r="L8" s="15">
        <f>L6*ASSUMPTIONS!L17</f>
        <v/>
      </c>
      <c r="M8" s="15">
        <f>M6*ASSUMPTIONS!M17</f>
        <v/>
      </c>
      <c r="N8" s="15">
        <f>N6*ASSUMPTIONS!N17</f>
        <v/>
      </c>
      <c r="O8" s="18">
        <f>SUM(C8:N8)</f>
        <v/>
      </c>
    </row>
    <row r="9">
      <c r="A9" t="inlineStr">
        <is>
          <t>Cost of sales, net of input VAT</t>
        </is>
      </c>
      <c r="B9" s="3" t="inlineStr">
        <is>
          <t>UGX</t>
        </is>
      </c>
      <c r="C9" s="15">
        <f>-ASSUMPTIONS!C11*ASSUMPTIONS!C16</f>
        <v/>
      </c>
      <c r="D9" s="15">
        <f>-ASSUMPTIONS!D11*ASSUMPTIONS!D16</f>
        <v/>
      </c>
      <c r="E9" s="15">
        <f>-ASSUMPTIONS!E11*ASSUMPTIONS!E16</f>
        <v/>
      </c>
      <c r="F9" s="15">
        <f>-ASSUMPTIONS!F11*ASSUMPTIONS!F16</f>
        <v/>
      </c>
      <c r="G9" s="15">
        <f>-ASSUMPTIONS!G11*ASSUMPTIONS!G16</f>
        <v/>
      </c>
      <c r="H9" s="15">
        <f>-ASSUMPTIONS!H11*ASSUMPTIONS!H16</f>
        <v/>
      </c>
      <c r="I9" s="15">
        <f>-ASSUMPTIONS!I11*ASSUMPTIONS!I16</f>
        <v/>
      </c>
      <c r="J9" s="15">
        <f>-ASSUMPTIONS!J11*ASSUMPTIONS!J16</f>
        <v/>
      </c>
      <c r="K9" s="15">
        <f>-ASSUMPTIONS!K11*ASSUMPTIONS!K16</f>
        <v/>
      </c>
      <c r="L9" s="15">
        <f>-ASSUMPTIONS!L11*ASSUMPTIONS!L16</f>
        <v/>
      </c>
      <c r="M9" s="15">
        <f>-ASSUMPTIONS!M11*ASSUMPTIONS!M16</f>
        <v/>
      </c>
      <c r="N9" s="15">
        <f>-ASSUMPTIONS!N11*ASSUMPTIONS!N16</f>
        <v/>
      </c>
      <c r="O9" s="18">
        <f>SUM(C9:N9)</f>
        <v/>
      </c>
    </row>
    <row r="10">
      <c r="A10" t="inlineStr">
        <is>
          <t>Jar cost expensed on issue</t>
        </is>
      </c>
      <c r="B10" s="3" t="inlineStr">
        <is>
          <t>UGX</t>
        </is>
      </c>
      <c r="C10" s="15">
        <f>-ASSUMPTIONS!C21*ASSUMPTIONS!C22</f>
        <v/>
      </c>
      <c r="D10" s="15">
        <f>-ASSUMPTIONS!D21*ASSUMPTIONS!D22</f>
        <v/>
      </c>
      <c r="E10" s="15">
        <f>-ASSUMPTIONS!E21*ASSUMPTIONS!E22</f>
        <v/>
      </c>
      <c r="F10" s="15">
        <f>-ASSUMPTIONS!F21*ASSUMPTIONS!F22</f>
        <v/>
      </c>
      <c r="G10" s="15">
        <f>-ASSUMPTIONS!G21*ASSUMPTIONS!G22</f>
        <v/>
      </c>
      <c r="H10" s="15">
        <f>-ASSUMPTIONS!H21*ASSUMPTIONS!H22</f>
        <v/>
      </c>
      <c r="I10" s="15">
        <f>-ASSUMPTIONS!I21*ASSUMPTIONS!I22</f>
        <v/>
      </c>
      <c r="J10" s="15">
        <f>-ASSUMPTIONS!J21*ASSUMPTIONS!J22</f>
        <v/>
      </c>
      <c r="K10" s="15">
        <f>-ASSUMPTIONS!K21*ASSUMPTIONS!K22</f>
        <v/>
      </c>
      <c r="L10" s="15">
        <f>-ASSUMPTIONS!L21*ASSUMPTIONS!L22</f>
        <v/>
      </c>
      <c r="M10" s="15">
        <f>-ASSUMPTIONS!M21*ASSUMPTIONS!M22</f>
        <v/>
      </c>
      <c r="N10" s="15">
        <f>-ASSUMPTIONS!N21*ASSUMPTIONS!N22</f>
        <v/>
      </c>
      <c r="O10" s="18">
        <f>SUM(C10:N10)</f>
        <v/>
      </c>
    </row>
    <row r="11">
      <c r="A11" s="2" t="inlineStr">
        <is>
          <t>GROSS PROFIT</t>
        </is>
      </c>
      <c r="B11" s="3" t="inlineStr">
        <is>
          <t>UGX</t>
        </is>
      </c>
      <c r="C11" s="18">
        <f>C6+C9+C10</f>
        <v/>
      </c>
      <c r="D11" s="18">
        <f>D6+D9+D10</f>
        <v/>
      </c>
      <c r="E11" s="18">
        <f>E6+E9+E10</f>
        <v/>
      </c>
      <c r="F11" s="18">
        <f>F6+F9+F10</f>
        <v/>
      </c>
      <c r="G11" s="18">
        <f>G6+G9+G10</f>
        <v/>
      </c>
      <c r="H11" s="18">
        <f>H6+H9+H10</f>
        <v/>
      </c>
      <c r="I11" s="18">
        <f>I6+I9+I10</f>
        <v/>
      </c>
      <c r="J11" s="18">
        <f>J6+J9+J10</f>
        <v/>
      </c>
      <c r="K11" s="18">
        <f>K6+K9+K10</f>
        <v/>
      </c>
      <c r="L11" s="18">
        <f>L6+L9+L10</f>
        <v/>
      </c>
      <c r="M11" s="18">
        <f>M6+M9+M10</f>
        <v/>
      </c>
      <c r="N11" s="18">
        <f>N6+N9+N10</f>
        <v/>
      </c>
      <c r="O11" s="18">
        <f>SUM(C11:N11)</f>
        <v/>
      </c>
    </row>
    <row r="12">
      <c r="A12" t="inlineStr">
        <is>
          <t>Fixed operating costs</t>
        </is>
      </c>
      <c r="B12" s="3" t="inlineStr">
        <is>
          <t>UGX</t>
        </is>
      </c>
      <c r="C12" s="15">
        <f>-ASSUMPTIONS!C28</f>
        <v/>
      </c>
      <c r="D12" s="15">
        <f>-ASSUMPTIONS!D28</f>
        <v/>
      </c>
      <c r="E12" s="15">
        <f>-ASSUMPTIONS!E28</f>
        <v/>
      </c>
      <c r="F12" s="15">
        <f>-ASSUMPTIONS!F28</f>
        <v/>
      </c>
      <c r="G12" s="15">
        <f>-ASSUMPTIONS!G28</f>
        <v/>
      </c>
      <c r="H12" s="15">
        <f>-ASSUMPTIONS!H28</f>
        <v/>
      </c>
      <c r="I12" s="15">
        <f>-ASSUMPTIONS!I28</f>
        <v/>
      </c>
      <c r="J12" s="15">
        <f>-ASSUMPTIONS!J28</f>
        <v/>
      </c>
      <c r="K12" s="15">
        <f>-ASSUMPTIONS!K28</f>
        <v/>
      </c>
      <c r="L12" s="15">
        <f>-ASSUMPTIONS!L28</f>
        <v/>
      </c>
      <c r="M12" s="15">
        <f>-ASSUMPTIONS!M28</f>
        <v/>
      </c>
      <c r="N12" s="15">
        <f>-ASSUMPTIONS!N28</f>
        <v/>
      </c>
      <c r="O12" s="18">
        <f>SUM(C12:N12)</f>
        <v/>
      </c>
    </row>
    <row r="13">
      <c r="A13" t="inlineStr">
        <is>
          <t>Salaries and wages</t>
        </is>
      </c>
      <c r="B13" s="3" t="inlineStr">
        <is>
          <t>UGX</t>
        </is>
      </c>
      <c r="C13" s="15">
        <f>-ASSUMPTIONS!C32</f>
        <v/>
      </c>
      <c r="D13" s="15">
        <f>-ASSUMPTIONS!D32</f>
        <v/>
      </c>
      <c r="E13" s="15">
        <f>-ASSUMPTIONS!E32</f>
        <v/>
      </c>
      <c r="F13" s="15">
        <f>-ASSUMPTIONS!F32</f>
        <v/>
      </c>
      <c r="G13" s="15">
        <f>-ASSUMPTIONS!G32</f>
        <v/>
      </c>
      <c r="H13" s="15">
        <f>-ASSUMPTIONS!H32</f>
        <v/>
      </c>
      <c r="I13" s="15">
        <f>-ASSUMPTIONS!I32</f>
        <v/>
      </c>
      <c r="J13" s="15">
        <f>-ASSUMPTIONS!J32</f>
        <v/>
      </c>
      <c r="K13" s="15">
        <f>-ASSUMPTIONS!K32</f>
        <v/>
      </c>
      <c r="L13" s="15">
        <f>-ASSUMPTIONS!L32</f>
        <v/>
      </c>
      <c r="M13" s="15">
        <f>-ASSUMPTIONS!M32</f>
        <v/>
      </c>
      <c r="N13" s="15">
        <f>-ASSUMPTIONS!N32</f>
        <v/>
      </c>
      <c r="O13" s="18">
        <f>SUM(C13:N13)</f>
        <v/>
      </c>
    </row>
    <row r="14">
      <c r="A14" t="inlineStr">
        <is>
          <t>Transaction fees</t>
        </is>
      </c>
      <c r="B14" s="3" t="inlineStr">
        <is>
          <t>UGX</t>
        </is>
      </c>
      <c r="C14" s="15">
        <f>-C7*ASSUMPTIONS!C33</f>
        <v/>
      </c>
      <c r="D14" s="15">
        <f>-D7*ASSUMPTIONS!D33</f>
        <v/>
      </c>
      <c r="E14" s="15">
        <f>-E7*ASSUMPTIONS!E33</f>
        <v/>
      </c>
      <c r="F14" s="15">
        <f>-F7*ASSUMPTIONS!F33</f>
        <v/>
      </c>
      <c r="G14" s="15">
        <f>-G7*ASSUMPTIONS!G33</f>
        <v/>
      </c>
      <c r="H14" s="15">
        <f>-H7*ASSUMPTIONS!H33</f>
        <v/>
      </c>
      <c r="I14" s="15">
        <f>-I7*ASSUMPTIONS!I33</f>
        <v/>
      </c>
      <c r="J14" s="15">
        <f>-J7*ASSUMPTIONS!J33</f>
        <v/>
      </c>
      <c r="K14" s="15">
        <f>-K7*ASSUMPTIONS!K33</f>
        <v/>
      </c>
      <c r="L14" s="15">
        <f>-L7*ASSUMPTIONS!L33</f>
        <v/>
      </c>
      <c r="M14" s="15">
        <f>-M7*ASSUMPTIONS!M33</f>
        <v/>
      </c>
      <c r="N14" s="15">
        <f>-N7*ASSUMPTIONS!N33</f>
        <v/>
      </c>
      <c r="O14" s="18">
        <f>SUM(C14:N14)</f>
        <v/>
      </c>
    </row>
    <row r="15">
      <c r="A15" s="2" t="inlineStr">
        <is>
          <t>EBITDA</t>
        </is>
      </c>
      <c r="B15" s="3" t="inlineStr">
        <is>
          <t>UGX</t>
        </is>
      </c>
      <c r="C15" s="18">
        <f>C11+C12+C13+C14</f>
        <v/>
      </c>
      <c r="D15" s="18">
        <f>D11+D12+D13+D14</f>
        <v/>
      </c>
      <c r="E15" s="18">
        <f>E11+E12+E13+E14</f>
        <v/>
      </c>
      <c r="F15" s="18">
        <f>F11+F12+F13+F14</f>
        <v/>
      </c>
      <c r="G15" s="18">
        <f>G11+G12+G13+G14</f>
        <v/>
      </c>
      <c r="H15" s="18">
        <f>H11+H12+H13+H14</f>
        <v/>
      </c>
      <c r="I15" s="18">
        <f>I11+I12+I13+I14</f>
        <v/>
      </c>
      <c r="J15" s="18">
        <f>J11+J12+J13+J14</f>
        <v/>
      </c>
      <c r="K15" s="18">
        <f>K11+K12+K13+K14</f>
        <v/>
      </c>
      <c r="L15" s="18">
        <f>L11+L12+L13+L14</f>
        <v/>
      </c>
      <c r="M15" s="18">
        <f>M11+M12+M13+M14</f>
        <v/>
      </c>
      <c r="N15" s="18">
        <f>N11+N12+N13+N14</f>
        <v/>
      </c>
      <c r="O15" s="18">
        <f>SUM(C15:N15)</f>
        <v/>
      </c>
    </row>
    <row r="16">
      <c r="A16" t="inlineStr">
        <is>
          <t>Depreciation</t>
        </is>
      </c>
      <c r="B16" s="3" t="inlineStr">
        <is>
          <t>UGX</t>
        </is>
      </c>
      <c r="C16" s="15">
        <f>-ASSUMPTIONS!$C$43/ASSUMPTIONS!$C$44</f>
        <v/>
      </c>
      <c r="D16" s="15">
        <f>-ASSUMPTIONS!$C$43/ASSUMPTIONS!$C$44</f>
        <v/>
      </c>
      <c r="E16" s="15">
        <f>-ASSUMPTIONS!$C$43/ASSUMPTIONS!$C$44</f>
        <v/>
      </c>
      <c r="F16" s="15">
        <f>-ASSUMPTIONS!$C$43/ASSUMPTIONS!$C$44</f>
        <v/>
      </c>
      <c r="G16" s="15">
        <f>-ASSUMPTIONS!$C$43/ASSUMPTIONS!$C$44</f>
        <v/>
      </c>
      <c r="H16" s="15">
        <f>-ASSUMPTIONS!$C$43/ASSUMPTIONS!$C$44</f>
        <v/>
      </c>
      <c r="I16" s="15">
        <f>-ASSUMPTIONS!$C$43/ASSUMPTIONS!$C$44</f>
        <v/>
      </c>
      <c r="J16" s="15">
        <f>-ASSUMPTIONS!$C$43/ASSUMPTIONS!$C$44</f>
        <v/>
      </c>
      <c r="K16" s="15">
        <f>-ASSUMPTIONS!$C$43/ASSUMPTIONS!$C$44</f>
        <v/>
      </c>
      <c r="L16" s="15">
        <f>-ASSUMPTIONS!$C$43/ASSUMPTIONS!$C$44</f>
        <v/>
      </c>
      <c r="M16" s="15">
        <f>-ASSUMPTIONS!$C$43/ASSUMPTIONS!$C$44</f>
        <v/>
      </c>
      <c r="N16" s="15">
        <f>-ASSUMPTIONS!$C$43/ASSUMPTIONS!$C$44</f>
        <v/>
      </c>
      <c r="O16" s="18">
        <f>SUM(C16:N16)</f>
        <v/>
      </c>
    </row>
    <row r="17">
      <c r="A17" s="2" t="inlineStr">
        <is>
          <t>EBIT / PROFIT BEFORE TAX</t>
        </is>
      </c>
      <c r="B17" s="3" t="inlineStr">
        <is>
          <t>UGX</t>
        </is>
      </c>
      <c r="C17" s="18">
        <f>C15+C16</f>
        <v/>
      </c>
      <c r="D17" s="18">
        <f>D15+D16</f>
        <v/>
      </c>
      <c r="E17" s="18">
        <f>E15+E16</f>
        <v/>
      </c>
      <c r="F17" s="18">
        <f>F15+F16</f>
        <v/>
      </c>
      <c r="G17" s="18">
        <f>G15+G16</f>
        <v/>
      </c>
      <c r="H17" s="18">
        <f>H15+H16</f>
        <v/>
      </c>
      <c r="I17" s="18">
        <f>I15+I16</f>
        <v/>
      </c>
      <c r="J17" s="18">
        <f>J15+J16</f>
        <v/>
      </c>
      <c r="K17" s="18">
        <f>K15+K16</f>
        <v/>
      </c>
      <c r="L17" s="18">
        <f>L15+L16</f>
        <v/>
      </c>
      <c r="M17" s="18">
        <f>M15+M16</f>
        <v/>
      </c>
      <c r="N17" s="18">
        <f>N15+N16</f>
        <v/>
      </c>
      <c r="O17" s="18">
        <f>SUM(C17:N17)</f>
        <v/>
      </c>
    </row>
    <row r="18">
      <c r="A18" t="inlineStr">
        <is>
          <t>Corporate tax charge</t>
        </is>
      </c>
      <c r="B18" s="3" t="inlineStr">
        <is>
          <t>UGX</t>
        </is>
      </c>
      <c r="C18" s="15">
        <f>-MAX(0,ASSUMPTIONS!$C$45*SUM($C$17:C17))</f>
        <v/>
      </c>
      <c r="D18" s="15">
        <f>-MAX(0,ASSUMPTIONS!$C$45*SUM($C$17:D17)+SUM($C$18:C18))</f>
        <v/>
      </c>
      <c r="E18" s="15">
        <f>-MAX(0,ASSUMPTIONS!$C$45*SUM($C$17:E17)+SUM($C$18:D18))</f>
        <v/>
      </c>
      <c r="F18" s="15">
        <f>-MAX(0,ASSUMPTIONS!$C$45*SUM($C$17:F17)+SUM($C$18:E18))</f>
        <v/>
      </c>
      <c r="G18" s="15">
        <f>-MAX(0,ASSUMPTIONS!$C$45*SUM($C$17:G17)+SUM($C$18:F18))</f>
        <v/>
      </c>
      <c r="H18" s="15">
        <f>-MAX(0,ASSUMPTIONS!$C$45*SUM($C$17:H17)+SUM($C$18:G18))</f>
        <v/>
      </c>
      <c r="I18" s="15">
        <f>-MAX(0,ASSUMPTIONS!$C$45*SUM($C$17:I17)+SUM($C$18:H18))</f>
        <v/>
      </c>
      <c r="J18" s="15">
        <f>-MAX(0,ASSUMPTIONS!$C$45*SUM($C$17:J17)+SUM($C$18:I18))</f>
        <v/>
      </c>
      <c r="K18" s="15">
        <f>-MAX(0,ASSUMPTIONS!$C$45*SUM($C$17:K17)+SUM($C$18:J18))</f>
        <v/>
      </c>
      <c r="L18" s="15">
        <f>-MAX(0,ASSUMPTIONS!$C$45*SUM($C$17:L17)+SUM($C$18:K18))</f>
        <v/>
      </c>
      <c r="M18" s="15">
        <f>-MAX(0,ASSUMPTIONS!$C$45*SUM($C$17:M17)+SUM($C$18:L18))</f>
        <v/>
      </c>
      <c r="N18" s="15">
        <f>-MAX(0,ASSUMPTIONS!$C$45*SUM($C$17:N17)+SUM($C$18:M18))</f>
        <v/>
      </c>
      <c r="O18" s="18">
        <f>SUM(C18:N18)</f>
        <v/>
      </c>
    </row>
    <row r="19">
      <c r="A19" s="2" t="inlineStr">
        <is>
          <t>NET PROFIT</t>
        </is>
      </c>
      <c r="B19" s="3" t="inlineStr">
        <is>
          <t>UGX</t>
        </is>
      </c>
      <c r="C19" s="19">
        <f>C17+C18</f>
        <v/>
      </c>
      <c r="D19" s="19">
        <f>D17+D18</f>
        <v/>
      </c>
      <c r="E19" s="19">
        <f>E17+E18</f>
        <v/>
      </c>
      <c r="F19" s="19">
        <f>F17+F18</f>
        <v/>
      </c>
      <c r="G19" s="19">
        <f>G17+G18</f>
        <v/>
      </c>
      <c r="H19" s="19">
        <f>H17+H18</f>
        <v/>
      </c>
      <c r="I19" s="19">
        <f>I17+I18</f>
        <v/>
      </c>
      <c r="J19" s="19">
        <f>J17+J18</f>
        <v/>
      </c>
      <c r="K19" s="19">
        <f>K17+K18</f>
        <v/>
      </c>
      <c r="L19" s="19">
        <f>L17+L18</f>
        <v/>
      </c>
      <c r="M19" s="19">
        <f>M17+M18</f>
        <v/>
      </c>
      <c r="N19" s="19">
        <f>N17+N18</f>
        <v/>
      </c>
      <c r="O19" s="18">
        <f>SUM(C19:N19)</f>
        <v/>
      </c>
    </row>
    <row r="21">
      <c r="A21" s="2" t="inlineStr"/>
      <c r="C21" s="16" t="inlineStr">
        <is>
          <t>M1</t>
        </is>
      </c>
      <c r="D21" s="16" t="inlineStr">
        <is>
          <t>M2</t>
        </is>
      </c>
      <c r="E21" s="16" t="inlineStr">
        <is>
          <t>M3</t>
        </is>
      </c>
      <c r="F21" s="16" t="inlineStr">
        <is>
          <t>M4</t>
        </is>
      </c>
      <c r="G21" s="16" t="inlineStr">
        <is>
          <t>M5</t>
        </is>
      </c>
      <c r="H21" s="16" t="inlineStr">
        <is>
          <t>M6</t>
        </is>
      </c>
      <c r="I21" s="16" t="inlineStr">
        <is>
          <t>M7</t>
        </is>
      </c>
      <c r="J21" s="16" t="inlineStr">
        <is>
          <t>M8</t>
        </is>
      </c>
      <c r="K21" s="16" t="inlineStr">
        <is>
          <t>M9</t>
        </is>
      </c>
      <c r="L21" s="16" t="inlineStr">
        <is>
          <t>M10</t>
        </is>
      </c>
      <c r="M21" s="16" t="inlineStr">
        <is>
          <t>M11</t>
        </is>
      </c>
      <c r="N21" s="16" t="inlineStr">
        <is>
          <t>M12</t>
        </is>
      </c>
      <c r="O21" s="16" t="inlineStr">
        <is>
          <t>YEAR 1</t>
        </is>
      </c>
    </row>
    <row r="22">
      <c r="A22" t="inlineStr">
        <is>
          <t>Gross profit margin</t>
        </is>
      </c>
      <c r="B22" s="3" t="inlineStr">
        <is>
          <t>% net rev</t>
        </is>
      </c>
      <c r="C22" s="20">
        <f>C11/C6</f>
        <v/>
      </c>
      <c r="D22" s="20">
        <f>D11/D6</f>
        <v/>
      </c>
      <c r="E22" s="20">
        <f>E11/E6</f>
        <v/>
      </c>
      <c r="F22" s="20">
        <f>F11/F6</f>
        <v/>
      </c>
      <c r="G22" s="20">
        <f>G11/G6</f>
        <v/>
      </c>
      <c r="H22" s="20">
        <f>H11/H6</f>
        <v/>
      </c>
      <c r="I22" s="20">
        <f>I11/I6</f>
        <v/>
      </c>
      <c r="J22" s="20">
        <f>J11/J6</f>
        <v/>
      </c>
      <c r="K22" s="20">
        <f>K11/K6</f>
        <v/>
      </c>
      <c r="L22" s="20">
        <f>L11/L6</f>
        <v/>
      </c>
      <c r="M22" s="20">
        <f>M11/M6</f>
        <v/>
      </c>
      <c r="N22" s="20">
        <f>N11/N6</f>
        <v/>
      </c>
      <c r="O22" s="21">
        <f>O11/O6</f>
        <v/>
      </c>
    </row>
    <row r="23">
      <c r="A23" t="inlineStr">
        <is>
          <t>EBITDA margin</t>
        </is>
      </c>
      <c r="B23" s="3" t="inlineStr">
        <is>
          <t>% net rev</t>
        </is>
      </c>
      <c r="C23" s="20">
        <f>C15/C6</f>
        <v/>
      </c>
      <c r="D23" s="20">
        <f>D15/D6</f>
        <v/>
      </c>
      <c r="E23" s="20">
        <f>E15/E6</f>
        <v/>
      </c>
      <c r="F23" s="20">
        <f>F15/F6</f>
        <v/>
      </c>
      <c r="G23" s="20">
        <f>G15/G6</f>
        <v/>
      </c>
      <c r="H23" s="20">
        <f>H15/H6</f>
        <v/>
      </c>
      <c r="I23" s="20">
        <f>I15/I6</f>
        <v/>
      </c>
      <c r="J23" s="20">
        <f>J15/J6</f>
        <v/>
      </c>
      <c r="K23" s="20">
        <f>K15/K6</f>
        <v/>
      </c>
      <c r="L23" s="20">
        <f>L15/L6</f>
        <v/>
      </c>
      <c r="M23" s="20">
        <f>M15/M6</f>
        <v/>
      </c>
      <c r="N23" s="20">
        <f>N15/N6</f>
        <v/>
      </c>
      <c r="O23" s="21">
        <f>O15/O6</f>
        <v/>
      </c>
    </row>
    <row r="24">
      <c r="A24" t="inlineStr">
        <is>
          <t>Pre-tax margin</t>
        </is>
      </c>
      <c r="B24" s="3" t="inlineStr">
        <is>
          <t>% net rev</t>
        </is>
      </c>
      <c r="C24" s="20">
        <f>C17/C6</f>
        <v/>
      </c>
      <c r="D24" s="20">
        <f>D17/D6</f>
        <v/>
      </c>
      <c r="E24" s="20">
        <f>E17/E6</f>
        <v/>
      </c>
      <c r="F24" s="20">
        <f>F17/F6</f>
        <v/>
      </c>
      <c r="G24" s="20">
        <f>G17/G6</f>
        <v/>
      </c>
      <c r="H24" s="20">
        <f>H17/H6</f>
        <v/>
      </c>
      <c r="I24" s="20">
        <f>I17/I6</f>
        <v/>
      </c>
      <c r="J24" s="20">
        <f>J17/J6</f>
        <v/>
      </c>
      <c r="K24" s="20">
        <f>K17/K6</f>
        <v/>
      </c>
      <c r="L24" s="20">
        <f>L17/L6</f>
        <v/>
      </c>
      <c r="M24" s="20">
        <f>M17/M6</f>
        <v/>
      </c>
      <c r="N24" s="20">
        <f>N17/N6</f>
        <v/>
      </c>
      <c r="O24" s="21">
        <f>O17/O6</f>
        <v/>
      </c>
    </row>
    <row r="25">
      <c r="A25" t="inlineStr">
        <is>
          <t>Net profit margin</t>
        </is>
      </c>
      <c r="B25" s="3" t="inlineStr">
        <is>
          <t>% net rev</t>
        </is>
      </c>
      <c r="C25" s="20">
        <f>C19/C6</f>
        <v/>
      </c>
      <c r="D25" s="20">
        <f>D19/D6</f>
        <v/>
      </c>
      <c r="E25" s="20">
        <f>E19/E6</f>
        <v/>
      </c>
      <c r="F25" s="20">
        <f>F19/F6</f>
        <v/>
      </c>
      <c r="G25" s="20">
        <f>G19/G6</f>
        <v/>
      </c>
      <c r="H25" s="20">
        <f>H19/H6</f>
        <v/>
      </c>
      <c r="I25" s="20">
        <f>I19/I6</f>
        <v/>
      </c>
      <c r="J25" s="20">
        <f>J19/J6</f>
        <v/>
      </c>
      <c r="K25" s="20">
        <f>K19/K6</f>
        <v/>
      </c>
      <c r="L25" s="20">
        <f>L19/L6</f>
        <v/>
      </c>
      <c r="M25" s="20">
        <f>M19/M6</f>
        <v/>
      </c>
      <c r="N25" s="20">
        <f>N19/N6</f>
        <v/>
      </c>
      <c r="O25" s="21">
        <f>O19/O6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46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7" customWidth="1" min="15" max="15"/>
  </cols>
  <sheetData>
    <row r="1">
      <c r="A1" s="1" t="inlineStr">
        <is>
          <t>STATEMENT OF FINANCIAL POSITION</t>
        </is>
      </c>
    </row>
    <row r="2">
      <c r="A2" s="3" t="inlineStr">
        <is>
          <t>UGX · month-end · the CHECK row must read zero</t>
        </is>
      </c>
    </row>
    <row r="4">
      <c r="A4" s="2" t="inlineStr"/>
      <c r="C4" s="16" t="inlineStr">
        <is>
          <t>M1</t>
        </is>
      </c>
      <c r="D4" s="16" t="inlineStr">
        <is>
          <t>M2</t>
        </is>
      </c>
      <c r="E4" s="16" t="inlineStr">
        <is>
          <t>M3</t>
        </is>
      </c>
      <c r="F4" s="16" t="inlineStr">
        <is>
          <t>M4</t>
        </is>
      </c>
      <c r="G4" s="16" t="inlineStr">
        <is>
          <t>M5</t>
        </is>
      </c>
      <c r="H4" s="16" t="inlineStr">
        <is>
          <t>M6</t>
        </is>
      </c>
      <c r="I4" s="16" t="inlineStr">
        <is>
          <t>M7</t>
        </is>
      </c>
      <c r="J4" s="16" t="inlineStr">
        <is>
          <t>M8</t>
        </is>
      </c>
      <c r="K4" s="16" t="inlineStr">
        <is>
          <t>M9</t>
        </is>
      </c>
      <c r="L4" s="16" t="inlineStr">
        <is>
          <t>M10</t>
        </is>
      </c>
      <c r="M4" s="16" t="inlineStr">
        <is>
          <t>M11</t>
        </is>
      </c>
      <c r="N4" s="16" t="inlineStr">
        <is>
          <t>M12</t>
        </is>
      </c>
      <c r="O4" s="16" t="inlineStr">
        <is>
          <t>YEAR 1</t>
        </is>
      </c>
    </row>
    <row r="5">
      <c r="A5" s="2" t="inlineStr">
        <is>
          <t>ASSETS</t>
        </is>
      </c>
    </row>
    <row r="6">
      <c r="A6" t="inlineStr">
        <is>
          <t>Cash and cash equivalents</t>
        </is>
      </c>
      <c r="C6" s="15">
        <f>'CASH FLOW'!C18</f>
        <v/>
      </c>
      <c r="D6" s="15">
        <f>'CASH FLOW'!D18</f>
        <v/>
      </c>
      <c r="E6" s="15">
        <f>'CASH FLOW'!E18</f>
        <v/>
      </c>
      <c r="F6" s="15">
        <f>'CASH FLOW'!F18</f>
        <v/>
      </c>
      <c r="G6" s="15">
        <f>'CASH FLOW'!G18</f>
        <v/>
      </c>
      <c r="H6" s="15">
        <f>'CASH FLOW'!H18</f>
        <v/>
      </c>
      <c r="I6" s="15">
        <f>'CASH FLOW'!I18</f>
        <v/>
      </c>
      <c r="J6" s="15">
        <f>'CASH FLOW'!J18</f>
        <v/>
      </c>
      <c r="K6" s="15">
        <f>'CASH FLOW'!K18</f>
        <v/>
      </c>
      <c r="L6" s="15">
        <f>'CASH FLOW'!L18</f>
        <v/>
      </c>
      <c r="M6" s="15">
        <f>'CASH FLOW'!M18</f>
        <v/>
      </c>
      <c r="N6" s="15">
        <f>'CASH FLOW'!N18</f>
        <v/>
      </c>
    </row>
    <row r="7">
      <c r="A7" t="inlineStr">
        <is>
          <t>Inventories</t>
        </is>
      </c>
      <c r="C7" s="15">
        <f>-'P&amp;L'!C9*ASSUMPTIONS!C37/30</f>
        <v/>
      </c>
      <c r="D7" s="15">
        <f>-'P&amp;L'!D9*ASSUMPTIONS!D37/30</f>
        <v/>
      </c>
      <c r="E7" s="15">
        <f>-'P&amp;L'!E9*ASSUMPTIONS!E37/30</f>
        <v/>
      </c>
      <c r="F7" s="15">
        <f>-'P&amp;L'!F9*ASSUMPTIONS!F37/30</f>
        <v/>
      </c>
      <c r="G7" s="15">
        <f>-'P&amp;L'!G9*ASSUMPTIONS!G37/30</f>
        <v/>
      </c>
      <c r="H7" s="15">
        <f>-'P&amp;L'!H9*ASSUMPTIONS!H37/30</f>
        <v/>
      </c>
      <c r="I7" s="15">
        <f>-'P&amp;L'!I9*ASSUMPTIONS!I37/30</f>
        <v/>
      </c>
      <c r="J7" s="15">
        <f>-'P&amp;L'!J9*ASSUMPTIONS!J37/30</f>
        <v/>
      </c>
      <c r="K7" s="15">
        <f>-'P&amp;L'!K9*ASSUMPTIONS!K37/30</f>
        <v/>
      </c>
      <c r="L7" s="15">
        <f>-'P&amp;L'!L9*ASSUMPTIONS!L37/30</f>
        <v/>
      </c>
      <c r="M7" s="15">
        <f>-'P&amp;L'!M9*ASSUMPTIONS!M37/30</f>
        <v/>
      </c>
      <c r="N7" s="15">
        <f>-'P&amp;L'!N9*ASSUMPTIONS!N37/30</f>
        <v/>
      </c>
    </row>
    <row r="8">
      <c r="A8" t="inlineStr">
        <is>
          <t>Trade receivables</t>
        </is>
      </c>
      <c r="C8" s="15">
        <f>'P&amp;L'!C6*ASSUMPTIONS!C38/30</f>
        <v/>
      </c>
      <c r="D8" s="15">
        <f>'P&amp;L'!D6*ASSUMPTIONS!D38/30</f>
        <v/>
      </c>
      <c r="E8" s="15">
        <f>'P&amp;L'!E6*ASSUMPTIONS!E38/30</f>
        <v/>
      </c>
      <c r="F8" s="15">
        <f>'P&amp;L'!F6*ASSUMPTIONS!F38/30</f>
        <v/>
      </c>
      <c r="G8" s="15">
        <f>'P&amp;L'!G6*ASSUMPTIONS!G38/30</f>
        <v/>
      </c>
      <c r="H8" s="15">
        <f>'P&amp;L'!H6*ASSUMPTIONS!H38/30</f>
        <v/>
      </c>
      <c r="I8" s="15">
        <f>'P&amp;L'!I6*ASSUMPTIONS!I38/30</f>
        <v/>
      </c>
      <c r="J8" s="15">
        <f>'P&amp;L'!J6*ASSUMPTIONS!J38/30</f>
        <v/>
      </c>
      <c r="K8" s="15">
        <f>'P&amp;L'!K6*ASSUMPTIONS!K38/30</f>
        <v/>
      </c>
      <c r="L8" s="15">
        <f>'P&amp;L'!L6*ASSUMPTIONS!L38/30</f>
        <v/>
      </c>
      <c r="M8" s="15">
        <f>'P&amp;L'!M6*ASSUMPTIONS!M38/30</f>
        <v/>
      </c>
      <c r="N8" s="15">
        <f>'P&amp;L'!N6*ASSUMPTIONS!N38/30</f>
        <v/>
      </c>
    </row>
    <row r="9">
      <c r="A9" t="inlineStr">
        <is>
          <t>Property, plant and equipment, at cost</t>
        </is>
      </c>
      <c r="C9" s="15">
        <f>ASSUMPTIONS!$C$43</f>
        <v/>
      </c>
      <c r="D9" s="15">
        <f>ASSUMPTIONS!$C$43</f>
        <v/>
      </c>
      <c r="E9" s="15">
        <f>ASSUMPTIONS!$C$43</f>
        <v/>
      </c>
      <c r="F9" s="15">
        <f>ASSUMPTIONS!$C$43</f>
        <v/>
      </c>
      <c r="G9" s="15">
        <f>ASSUMPTIONS!$C$43</f>
        <v/>
      </c>
      <c r="H9" s="15">
        <f>ASSUMPTIONS!$C$43</f>
        <v/>
      </c>
      <c r="I9" s="15">
        <f>ASSUMPTIONS!$C$43</f>
        <v/>
      </c>
      <c r="J9" s="15">
        <f>ASSUMPTIONS!$C$43</f>
        <v/>
      </c>
      <c r="K9" s="15">
        <f>ASSUMPTIONS!$C$43</f>
        <v/>
      </c>
      <c r="L9" s="15">
        <f>ASSUMPTIONS!$C$43</f>
        <v/>
      </c>
      <c r="M9" s="15">
        <f>ASSUMPTIONS!$C$43</f>
        <v/>
      </c>
      <c r="N9" s="15">
        <f>ASSUMPTIONS!$C$43</f>
        <v/>
      </c>
    </row>
    <row r="10">
      <c r="A10" t="inlineStr">
        <is>
          <t xml:space="preserve">  less accumulated depreciation</t>
        </is>
      </c>
      <c r="C10" s="15">
        <f>-ASSUMPTIONS!$C$43/ASSUMPTIONS!$C$44*1</f>
        <v/>
      </c>
      <c r="D10" s="15">
        <f>-ASSUMPTIONS!$C$43/ASSUMPTIONS!$C$44*2</f>
        <v/>
      </c>
      <c r="E10" s="15">
        <f>-ASSUMPTIONS!$C$43/ASSUMPTIONS!$C$44*3</f>
        <v/>
      </c>
      <c r="F10" s="15">
        <f>-ASSUMPTIONS!$C$43/ASSUMPTIONS!$C$44*4</f>
        <v/>
      </c>
      <c r="G10" s="15">
        <f>-ASSUMPTIONS!$C$43/ASSUMPTIONS!$C$44*5</f>
        <v/>
      </c>
      <c r="H10" s="15">
        <f>-ASSUMPTIONS!$C$43/ASSUMPTIONS!$C$44*6</f>
        <v/>
      </c>
      <c r="I10" s="15">
        <f>-ASSUMPTIONS!$C$43/ASSUMPTIONS!$C$44*7</f>
        <v/>
      </c>
      <c r="J10" s="15">
        <f>-ASSUMPTIONS!$C$43/ASSUMPTIONS!$C$44*8</f>
        <v/>
      </c>
      <c r="K10" s="15">
        <f>-ASSUMPTIONS!$C$43/ASSUMPTIONS!$C$44*9</f>
        <v/>
      </c>
      <c r="L10" s="15">
        <f>-ASSUMPTIONS!$C$43/ASSUMPTIONS!$C$44*10</f>
        <v/>
      </c>
      <c r="M10" s="15">
        <f>-ASSUMPTIONS!$C$43/ASSUMPTIONS!$C$44*11</f>
        <v/>
      </c>
      <c r="N10" s="15">
        <f>-ASSUMPTIONS!$C$43/ASSUMPTIONS!$C$44*12</f>
        <v/>
      </c>
    </row>
    <row r="11">
      <c r="A11" s="2" t="inlineStr">
        <is>
          <t>TOTAL ASSETS</t>
        </is>
      </c>
      <c r="C11" s="18">
        <f>SUM(C6:C10)</f>
        <v/>
      </c>
      <c r="D11" s="18">
        <f>SUM(D6:D10)</f>
        <v/>
      </c>
      <c r="E11" s="18">
        <f>SUM(E6:E10)</f>
        <v/>
      </c>
      <c r="F11" s="18">
        <f>SUM(F6:F10)</f>
        <v/>
      </c>
      <c r="G11" s="18">
        <f>SUM(G6:G10)</f>
        <v/>
      </c>
      <c r="H11" s="18">
        <f>SUM(H6:H10)</f>
        <v/>
      </c>
      <c r="I11" s="18">
        <f>SUM(I6:I10)</f>
        <v/>
      </c>
      <c r="J11" s="18">
        <f>SUM(J6:J10)</f>
        <v/>
      </c>
      <c r="K11" s="18">
        <f>SUM(K6:K10)</f>
        <v/>
      </c>
      <c r="L11" s="18">
        <f>SUM(L6:L10)</f>
        <v/>
      </c>
      <c r="M11" s="18">
        <f>SUM(M6:M10)</f>
        <v/>
      </c>
      <c r="N11" s="18">
        <f>SUM(N6:N10)</f>
        <v/>
      </c>
    </row>
    <row r="13">
      <c r="A13" s="2" t="inlineStr">
        <is>
          <t>LIABILITIES</t>
        </is>
      </c>
    </row>
    <row r="14">
      <c r="A14" t="inlineStr">
        <is>
          <t>Trade and other payables</t>
        </is>
      </c>
      <c r="C14" s="15">
        <f>-'P&amp;L'!C9*ASSUMPTIONS!C39/30</f>
        <v/>
      </c>
      <c r="D14" s="15">
        <f>-'P&amp;L'!D9*ASSUMPTIONS!D39/30</f>
        <v/>
      </c>
      <c r="E14" s="15">
        <f>-'P&amp;L'!E9*ASSUMPTIONS!E39/30</f>
        <v/>
      </c>
      <c r="F14" s="15">
        <f>-'P&amp;L'!F9*ASSUMPTIONS!F39/30</f>
        <v/>
      </c>
      <c r="G14" s="15">
        <f>-'P&amp;L'!G9*ASSUMPTIONS!G39/30</f>
        <v/>
      </c>
      <c r="H14" s="15">
        <f>-'P&amp;L'!H9*ASSUMPTIONS!H39/30</f>
        <v/>
      </c>
      <c r="I14" s="15">
        <f>-'P&amp;L'!I9*ASSUMPTIONS!I39/30</f>
        <v/>
      </c>
      <c r="J14" s="15">
        <f>-'P&amp;L'!J9*ASSUMPTIONS!J39/30</f>
        <v/>
      </c>
      <c r="K14" s="15">
        <f>-'P&amp;L'!K9*ASSUMPTIONS!K39/30</f>
        <v/>
      </c>
      <c r="L14" s="15">
        <f>-'P&amp;L'!L9*ASSUMPTIONS!L39/30</f>
        <v/>
      </c>
      <c r="M14" s="15">
        <f>-'P&amp;L'!M9*ASSUMPTIONS!M39/30</f>
        <v/>
      </c>
      <c r="N14" s="15">
        <f>-'P&amp;L'!N9*ASSUMPTIONS!N39/30</f>
        <v/>
      </c>
    </row>
    <row r="15">
      <c r="A15" t="inlineStr">
        <is>
          <t>Current tax payable</t>
        </is>
      </c>
      <c r="C15" s="15">
        <f>-SUM('P&amp;L'!$C$18:'P&amp;L'!C18)+SUM('CASH FLOW'!$C$14:'CASH FLOW'!C14)</f>
        <v/>
      </c>
      <c r="D15" s="15">
        <f>-SUM('P&amp;L'!$C$18:'P&amp;L'!D18)+SUM('CASH FLOW'!$C$14:'CASH FLOW'!D14)</f>
        <v/>
      </c>
      <c r="E15" s="15">
        <f>-SUM('P&amp;L'!$C$18:'P&amp;L'!E18)+SUM('CASH FLOW'!$C$14:'CASH FLOW'!E14)</f>
        <v/>
      </c>
      <c r="F15" s="15">
        <f>-SUM('P&amp;L'!$C$18:'P&amp;L'!F18)+SUM('CASH FLOW'!$C$14:'CASH FLOW'!F14)</f>
        <v/>
      </c>
      <c r="G15" s="15">
        <f>-SUM('P&amp;L'!$C$18:'P&amp;L'!G18)+SUM('CASH FLOW'!$C$14:'CASH FLOW'!G14)</f>
        <v/>
      </c>
      <c r="H15" s="15">
        <f>-SUM('P&amp;L'!$C$18:'P&amp;L'!H18)+SUM('CASH FLOW'!$C$14:'CASH FLOW'!H14)</f>
        <v/>
      </c>
      <c r="I15" s="15">
        <f>-SUM('P&amp;L'!$C$18:'P&amp;L'!I18)+SUM('CASH FLOW'!$C$14:'CASH FLOW'!I14)</f>
        <v/>
      </c>
      <c r="J15" s="15">
        <f>-SUM('P&amp;L'!$C$18:'P&amp;L'!J18)+SUM('CASH FLOW'!$C$14:'CASH FLOW'!J14)</f>
        <v/>
      </c>
      <c r="K15" s="15">
        <f>-SUM('P&amp;L'!$C$18:'P&amp;L'!K18)+SUM('CASH FLOW'!$C$14:'CASH FLOW'!K14)</f>
        <v/>
      </c>
      <c r="L15" s="15">
        <f>-SUM('P&amp;L'!$C$18:'P&amp;L'!L18)+SUM('CASH FLOW'!$C$14:'CASH FLOW'!L14)</f>
        <v/>
      </c>
      <c r="M15" s="15">
        <f>-SUM('P&amp;L'!$C$18:'P&amp;L'!M18)+SUM('CASH FLOW'!$C$14:'CASH FLOW'!M14)</f>
        <v/>
      </c>
      <c r="N15" s="15">
        <f>-SUM('P&amp;L'!$C$18:'P&amp;L'!N18)+SUM('CASH FLOW'!$C$14:'CASH FLOW'!N14)</f>
        <v/>
      </c>
    </row>
    <row r="16">
      <c r="A16" t="inlineStr">
        <is>
          <t>Customer deposits — refundable</t>
        </is>
      </c>
      <c r="C16" s="15">
        <f>(ASSUMPTIONS!C21-ASSUMPTIONS!C24)*ASSUMPTIONS!C23</f>
        <v/>
      </c>
      <c r="D16" s="15">
        <f>(ASSUMPTIONS!C21-ASSUMPTIONS!C24)*ASSUMPTIONS!C23+(ASSUMPTIONS!D21-ASSUMPTIONS!D24)*ASSUMPTIONS!D23</f>
        <v/>
      </c>
      <c r="E16" s="15">
        <f>(ASSUMPTIONS!C21-ASSUMPTIONS!C24)*ASSUMPTIONS!C23+(ASSUMPTIONS!D21-ASSUMPTIONS!D24)*ASSUMPTIONS!D23+(ASSUMPTIONS!E21-ASSUMPTIONS!E24)*ASSUMPTIONS!E23</f>
        <v/>
      </c>
      <c r="F16" s="15">
        <f>(ASSUMPTIONS!C21-ASSUMPTIONS!C24)*ASSUMPTIONS!C23+(ASSUMPTIONS!D21-ASSUMPTIONS!D24)*ASSUMPTIONS!D23+(ASSUMPTIONS!E21-ASSUMPTIONS!E24)*ASSUMPTIONS!E23+(ASSUMPTIONS!F21-ASSUMPTIONS!F24)*ASSUMPTIONS!F23</f>
        <v/>
      </c>
      <c r="G16" s="15">
        <f>(ASSUMPTIONS!C21-ASSUMPTIONS!C24)*ASSUMPTIONS!C23+(ASSUMPTIONS!D21-ASSUMPTIONS!D24)*ASSUMPTIONS!D23+(ASSUMPTIONS!E21-ASSUMPTIONS!E24)*ASSUMPTIONS!E23+(ASSUMPTIONS!F21-ASSUMPTIONS!F24)*ASSUMPTIONS!F23+(ASSUMPTIONS!G21-ASSUMPTIONS!G24)*ASSUMPTIONS!G23</f>
        <v/>
      </c>
      <c r="H16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</f>
        <v/>
      </c>
      <c r="I16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</f>
        <v/>
      </c>
      <c r="J16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</f>
        <v/>
      </c>
      <c r="K16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+(ASSUMPTIONS!K21-ASSUMPTIONS!K24)*ASSUMPTIONS!K23</f>
        <v/>
      </c>
      <c r="L16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+(ASSUMPTIONS!K21-ASSUMPTIONS!K24)*ASSUMPTIONS!K23+(ASSUMPTIONS!L21-ASSUMPTIONS!L24)*ASSUMPTIONS!L23</f>
        <v/>
      </c>
      <c r="M16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+(ASSUMPTIONS!K21-ASSUMPTIONS!K24)*ASSUMPTIONS!K23+(ASSUMPTIONS!L21-ASSUMPTIONS!L24)*ASSUMPTIONS!L23+(ASSUMPTIONS!M21-ASSUMPTIONS!M24)*ASSUMPTIONS!M23</f>
        <v/>
      </c>
      <c r="N16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+(ASSUMPTIONS!K21-ASSUMPTIONS!K24)*ASSUMPTIONS!K23+(ASSUMPTIONS!L21-ASSUMPTIONS!L24)*ASSUMPTIONS!L23+(ASSUMPTIONS!M21-ASSUMPTIONS!M24)*ASSUMPTIONS!M23+(ASSUMPTIONS!N21-ASSUMPTIONS!N24)*ASSUMPTIONS!N23</f>
        <v/>
      </c>
    </row>
    <row r="17">
      <c r="A17" s="2" t="inlineStr">
        <is>
          <t>TOTAL LIABILITIES</t>
        </is>
      </c>
      <c r="C17" s="18">
        <f>SUM(C14:C16)</f>
        <v/>
      </c>
      <c r="D17" s="18">
        <f>SUM(D14:D16)</f>
        <v/>
      </c>
      <c r="E17" s="18">
        <f>SUM(E14:E16)</f>
        <v/>
      </c>
      <c r="F17" s="18">
        <f>SUM(F14:F16)</f>
        <v/>
      </c>
      <c r="G17" s="18">
        <f>SUM(G14:G16)</f>
        <v/>
      </c>
      <c r="H17" s="18">
        <f>SUM(H14:H16)</f>
        <v/>
      </c>
      <c r="I17" s="18">
        <f>SUM(I14:I16)</f>
        <v/>
      </c>
      <c r="J17" s="18">
        <f>SUM(J14:J16)</f>
        <v/>
      </c>
      <c r="K17" s="18">
        <f>SUM(K14:K16)</f>
        <v/>
      </c>
      <c r="L17" s="18">
        <f>SUM(L14:L16)</f>
        <v/>
      </c>
      <c r="M17" s="18">
        <f>SUM(M14:M16)</f>
        <v/>
      </c>
      <c r="N17" s="18">
        <f>SUM(N14:N16)</f>
        <v/>
      </c>
    </row>
    <row r="19">
      <c r="A19" s="2" t="inlineStr">
        <is>
          <t>EQUITY</t>
        </is>
      </c>
    </row>
    <row r="20">
      <c r="A20" t="inlineStr">
        <is>
          <t>Share capital and opening equity (derived)</t>
        </is>
      </c>
      <c r="C20" s="15">
        <f>ASSUMPTIONS!$C$46+ASSUMPTIONS!$C$47+ASSUMPTIONS!$C$43</f>
        <v/>
      </c>
      <c r="D20" s="15">
        <f>ASSUMPTIONS!$C$46+ASSUMPTIONS!$C$47+ASSUMPTIONS!$C$43</f>
        <v/>
      </c>
      <c r="E20" s="15">
        <f>ASSUMPTIONS!$C$46+ASSUMPTIONS!$C$47+ASSUMPTIONS!$C$43</f>
        <v/>
      </c>
      <c r="F20" s="15">
        <f>ASSUMPTIONS!$C$46+ASSUMPTIONS!$C$47+ASSUMPTIONS!$C$43</f>
        <v/>
      </c>
      <c r="G20" s="15">
        <f>ASSUMPTIONS!$C$46+ASSUMPTIONS!$C$47+ASSUMPTIONS!$C$43</f>
        <v/>
      </c>
      <c r="H20" s="15">
        <f>ASSUMPTIONS!$C$46+ASSUMPTIONS!$C$47+ASSUMPTIONS!$C$43</f>
        <v/>
      </c>
      <c r="I20" s="15">
        <f>ASSUMPTIONS!$C$46+ASSUMPTIONS!$C$47+ASSUMPTIONS!$C$43</f>
        <v/>
      </c>
      <c r="J20" s="15">
        <f>ASSUMPTIONS!$C$46+ASSUMPTIONS!$C$47+ASSUMPTIONS!$C$43</f>
        <v/>
      </c>
      <c r="K20" s="15">
        <f>ASSUMPTIONS!$C$46+ASSUMPTIONS!$C$47+ASSUMPTIONS!$C$43</f>
        <v/>
      </c>
      <c r="L20" s="15">
        <f>ASSUMPTIONS!$C$46+ASSUMPTIONS!$C$47+ASSUMPTIONS!$C$43</f>
        <v/>
      </c>
      <c r="M20" s="15">
        <f>ASSUMPTIONS!$C$46+ASSUMPTIONS!$C$47+ASSUMPTIONS!$C$43</f>
        <v/>
      </c>
      <c r="N20" s="15">
        <f>ASSUMPTIONS!$C$46+ASSUMPTIONS!$C$47+ASSUMPTIONS!$C$43</f>
        <v/>
      </c>
    </row>
    <row r="21">
      <c r="A21" t="inlineStr">
        <is>
          <t>Retained earnings</t>
        </is>
      </c>
      <c r="C21" s="15">
        <f>SUM('P&amp;L'!$C$19:'P&amp;L'!C19)</f>
        <v/>
      </c>
      <c r="D21" s="15">
        <f>SUM('P&amp;L'!$C$19:'P&amp;L'!D19)</f>
        <v/>
      </c>
      <c r="E21" s="15">
        <f>SUM('P&amp;L'!$C$19:'P&amp;L'!E19)</f>
        <v/>
      </c>
      <c r="F21" s="15">
        <f>SUM('P&amp;L'!$C$19:'P&amp;L'!F19)</f>
        <v/>
      </c>
      <c r="G21" s="15">
        <f>SUM('P&amp;L'!$C$19:'P&amp;L'!G19)</f>
        <v/>
      </c>
      <c r="H21" s="15">
        <f>SUM('P&amp;L'!$C$19:'P&amp;L'!H19)</f>
        <v/>
      </c>
      <c r="I21" s="15">
        <f>SUM('P&amp;L'!$C$19:'P&amp;L'!I19)</f>
        <v/>
      </c>
      <c r="J21" s="15">
        <f>SUM('P&amp;L'!$C$19:'P&amp;L'!J19)</f>
        <v/>
      </c>
      <c r="K21" s="15">
        <f>SUM('P&amp;L'!$C$19:'P&amp;L'!K19)</f>
        <v/>
      </c>
      <c r="L21" s="15">
        <f>SUM('P&amp;L'!$C$19:'P&amp;L'!L19)</f>
        <v/>
      </c>
      <c r="M21" s="15">
        <f>SUM('P&amp;L'!$C$19:'P&amp;L'!M19)</f>
        <v/>
      </c>
      <c r="N21" s="15">
        <f>SUM('P&amp;L'!$C$19:'P&amp;L'!N19)</f>
        <v/>
      </c>
    </row>
    <row r="22">
      <c r="A22" s="2" t="inlineStr">
        <is>
          <t>TOTAL EQUITY</t>
        </is>
      </c>
      <c r="C22" s="18">
        <f>C20+C21</f>
        <v/>
      </c>
      <c r="D22" s="18">
        <f>D20+D21</f>
        <v/>
      </c>
      <c r="E22" s="18">
        <f>E20+E21</f>
        <v/>
      </c>
      <c r="F22" s="18">
        <f>F20+F21</f>
        <v/>
      </c>
      <c r="G22" s="18">
        <f>G20+G21</f>
        <v/>
      </c>
      <c r="H22" s="18">
        <f>H20+H21</f>
        <v/>
      </c>
      <c r="I22" s="18">
        <f>I20+I21</f>
        <v/>
      </c>
      <c r="J22" s="18">
        <f>J20+J21</f>
        <v/>
      </c>
      <c r="K22" s="18">
        <f>K20+K21</f>
        <v/>
      </c>
      <c r="L22" s="18">
        <f>L20+L21</f>
        <v/>
      </c>
      <c r="M22" s="18">
        <f>M20+M21</f>
        <v/>
      </c>
      <c r="N22" s="18">
        <f>N20+N21</f>
        <v/>
      </c>
    </row>
    <row r="23">
      <c r="A23" s="2" t="inlineStr">
        <is>
          <t>TOTAL LIABILITIES AND EQUITY</t>
        </is>
      </c>
      <c r="C23" s="18">
        <f>C17+C22</f>
        <v/>
      </c>
      <c r="D23" s="18">
        <f>D17+D22</f>
        <v/>
      </c>
      <c r="E23" s="18">
        <f>E17+E22</f>
        <v/>
      </c>
      <c r="F23" s="18">
        <f>F17+F22</f>
        <v/>
      </c>
      <c r="G23" s="18">
        <f>G17+G22</f>
        <v/>
      </c>
      <c r="H23" s="18">
        <f>H17+H22</f>
        <v/>
      </c>
      <c r="I23" s="18">
        <f>I17+I22</f>
        <v/>
      </c>
      <c r="J23" s="18">
        <f>J17+J22</f>
        <v/>
      </c>
      <c r="K23" s="18">
        <f>K17+K22</f>
        <v/>
      </c>
      <c r="L23" s="18">
        <f>L17+L22</f>
        <v/>
      </c>
      <c r="M23" s="18">
        <f>M17+M22</f>
        <v/>
      </c>
      <c r="N23" s="18">
        <f>N17+N22</f>
        <v/>
      </c>
    </row>
    <row r="24">
      <c r="A24" s="2" t="inlineStr">
        <is>
          <t>CHECK — must be zero</t>
        </is>
      </c>
      <c r="C24" s="22">
        <f>ROUND(C23-C11,0)</f>
        <v/>
      </c>
      <c r="D24" s="22">
        <f>ROUND(D23-D11,0)</f>
        <v/>
      </c>
      <c r="E24" s="22">
        <f>ROUND(E23-E11,0)</f>
        <v/>
      </c>
      <c r="F24" s="22">
        <f>ROUND(F23-F11,0)</f>
        <v/>
      </c>
      <c r="G24" s="22">
        <f>ROUND(G23-G11,0)</f>
        <v/>
      </c>
      <c r="H24" s="22">
        <f>ROUND(H23-H11,0)</f>
        <v/>
      </c>
      <c r="I24" s="22">
        <f>ROUND(I23-I11,0)</f>
        <v/>
      </c>
      <c r="J24" s="22">
        <f>ROUND(J23-J11,0)</f>
        <v/>
      </c>
      <c r="K24" s="22">
        <f>ROUND(K23-K11,0)</f>
        <v/>
      </c>
      <c r="L24" s="22">
        <f>ROUND(L23-L11,0)</f>
        <v/>
      </c>
      <c r="M24" s="22">
        <f>ROUND(M23-M11,0)</f>
        <v/>
      </c>
      <c r="N24" s="22">
        <f>ROUND(N23-N11,0)</f>
        <v/>
      </c>
    </row>
    <row r="26">
      <c r="A26" s="3" t="inlineStr">
        <is>
          <t>Customer deposits are the largest liability here. It is customers' money, repayable when a jar comes back. Never present it as equity, headroom, or distributable profit.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46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7" customWidth="1" min="15" max="15"/>
  </cols>
  <sheetData>
    <row r="1">
      <c r="A1" s="1" t="inlineStr">
        <is>
          <t>STATEMENT OF CASH FLOWS</t>
        </is>
      </c>
    </row>
    <row r="2">
      <c r="A2" s="3" t="inlineStr">
        <is>
          <t>UGX · indirect method</t>
        </is>
      </c>
    </row>
    <row r="4">
      <c r="A4" s="2" t="inlineStr"/>
      <c r="C4" s="16" t="inlineStr">
        <is>
          <t>M1</t>
        </is>
      </c>
      <c r="D4" s="16" t="inlineStr">
        <is>
          <t>M2</t>
        </is>
      </c>
      <c r="E4" s="16" t="inlineStr">
        <is>
          <t>M3</t>
        </is>
      </c>
      <c r="F4" s="16" t="inlineStr">
        <is>
          <t>M4</t>
        </is>
      </c>
      <c r="G4" s="16" t="inlineStr">
        <is>
          <t>M5</t>
        </is>
      </c>
      <c r="H4" s="16" t="inlineStr">
        <is>
          <t>M6</t>
        </is>
      </c>
      <c r="I4" s="16" t="inlineStr">
        <is>
          <t>M7</t>
        </is>
      </c>
      <c r="J4" s="16" t="inlineStr">
        <is>
          <t>M8</t>
        </is>
      </c>
      <c r="K4" s="16" t="inlineStr">
        <is>
          <t>M9</t>
        </is>
      </c>
      <c r="L4" s="16" t="inlineStr">
        <is>
          <t>M10</t>
        </is>
      </c>
      <c r="M4" s="16" t="inlineStr">
        <is>
          <t>M11</t>
        </is>
      </c>
      <c r="N4" s="16" t="inlineStr">
        <is>
          <t>M12</t>
        </is>
      </c>
      <c r="O4" s="16" t="inlineStr">
        <is>
          <t>YEAR 1</t>
        </is>
      </c>
    </row>
    <row r="5">
      <c r="A5" t="inlineStr">
        <is>
          <t>Net profit</t>
        </is>
      </c>
      <c r="C5" s="15">
        <f>'P&amp;L'!C19</f>
        <v/>
      </c>
      <c r="D5" s="15">
        <f>'P&amp;L'!D19</f>
        <v/>
      </c>
      <c r="E5" s="15">
        <f>'P&amp;L'!E19</f>
        <v/>
      </c>
      <c r="F5" s="15">
        <f>'P&amp;L'!F19</f>
        <v/>
      </c>
      <c r="G5" s="15">
        <f>'P&amp;L'!G19</f>
        <v/>
      </c>
      <c r="H5" s="15">
        <f>'P&amp;L'!H19</f>
        <v/>
      </c>
      <c r="I5" s="15">
        <f>'P&amp;L'!I19</f>
        <v/>
      </c>
      <c r="J5" s="15">
        <f>'P&amp;L'!J19</f>
        <v/>
      </c>
      <c r="K5" s="15">
        <f>'P&amp;L'!K19</f>
        <v/>
      </c>
      <c r="L5" s="15">
        <f>'P&amp;L'!L19</f>
        <v/>
      </c>
      <c r="M5" s="15">
        <f>'P&amp;L'!M19</f>
        <v/>
      </c>
      <c r="N5" s="15">
        <f>'P&amp;L'!N19</f>
        <v/>
      </c>
      <c r="O5" s="18">
        <f>SUM(C5:N5)</f>
        <v/>
      </c>
    </row>
    <row r="6">
      <c r="A6" t="inlineStr">
        <is>
          <t>add back depreciation</t>
        </is>
      </c>
      <c r="C6" s="15">
        <f>-'P&amp;L'!C16</f>
        <v/>
      </c>
      <c r="D6" s="15">
        <f>-'P&amp;L'!D16</f>
        <v/>
      </c>
      <c r="E6" s="15">
        <f>-'P&amp;L'!E16</f>
        <v/>
      </c>
      <c r="F6" s="15">
        <f>-'P&amp;L'!F16</f>
        <v/>
      </c>
      <c r="G6" s="15">
        <f>-'P&amp;L'!G16</f>
        <v/>
      </c>
      <c r="H6" s="15">
        <f>-'P&amp;L'!H16</f>
        <v/>
      </c>
      <c r="I6" s="15">
        <f>-'P&amp;L'!I16</f>
        <v/>
      </c>
      <c r="J6" s="15">
        <f>-'P&amp;L'!J16</f>
        <v/>
      </c>
      <c r="K6" s="15">
        <f>-'P&amp;L'!K16</f>
        <v/>
      </c>
      <c r="L6" s="15">
        <f>-'P&amp;L'!L16</f>
        <v/>
      </c>
      <c r="M6" s="15">
        <f>-'P&amp;L'!M16</f>
        <v/>
      </c>
      <c r="N6" s="15">
        <f>-'P&amp;L'!N16</f>
        <v/>
      </c>
      <c r="O6" s="18">
        <f>SUM(C6:N6)</f>
        <v/>
      </c>
    </row>
    <row r="7">
      <c r="A7" t="inlineStr">
        <is>
          <t>add back tax accrued</t>
        </is>
      </c>
      <c r="C7" s="15">
        <f>-'P&amp;L'!C18</f>
        <v/>
      </c>
      <c r="D7" s="15">
        <f>-'P&amp;L'!D18</f>
        <v/>
      </c>
      <c r="E7" s="15">
        <f>-'P&amp;L'!E18</f>
        <v/>
      </c>
      <c r="F7" s="15">
        <f>-'P&amp;L'!F18</f>
        <v/>
      </c>
      <c r="G7" s="15">
        <f>-'P&amp;L'!G18</f>
        <v/>
      </c>
      <c r="H7" s="15">
        <f>-'P&amp;L'!H18</f>
        <v/>
      </c>
      <c r="I7" s="15">
        <f>-'P&amp;L'!I18</f>
        <v/>
      </c>
      <c r="J7" s="15">
        <f>-'P&amp;L'!J18</f>
        <v/>
      </c>
      <c r="K7" s="15">
        <f>-'P&amp;L'!K18</f>
        <v/>
      </c>
      <c r="L7" s="15">
        <f>-'P&amp;L'!L18</f>
        <v/>
      </c>
      <c r="M7" s="15">
        <f>-'P&amp;L'!M18</f>
        <v/>
      </c>
      <c r="N7" s="15">
        <f>-'P&amp;L'!N18</f>
        <v/>
      </c>
      <c r="O7" s="18">
        <f>SUM(C7:N7)</f>
        <v/>
      </c>
    </row>
    <row r="8">
      <c r="A8" t="inlineStr">
        <is>
          <t>movement in inventories</t>
        </is>
      </c>
      <c r="C8" s="15">
        <f>-('BALANCE SHEET'!C7-ASSUMPTIONS!$C$47)</f>
        <v/>
      </c>
      <c r="D8" s="15">
        <f>-('BALANCE SHEET'!D7-'BALANCE SHEET'!C7)</f>
        <v/>
      </c>
      <c r="E8" s="15">
        <f>-('BALANCE SHEET'!E7-'BALANCE SHEET'!D7)</f>
        <v/>
      </c>
      <c r="F8" s="15">
        <f>-('BALANCE SHEET'!F7-'BALANCE SHEET'!E7)</f>
        <v/>
      </c>
      <c r="G8" s="15">
        <f>-('BALANCE SHEET'!G7-'BALANCE SHEET'!F7)</f>
        <v/>
      </c>
      <c r="H8" s="15">
        <f>-('BALANCE SHEET'!H7-'BALANCE SHEET'!G7)</f>
        <v/>
      </c>
      <c r="I8" s="15">
        <f>-('BALANCE SHEET'!I7-'BALANCE SHEET'!H7)</f>
        <v/>
      </c>
      <c r="J8" s="15">
        <f>-('BALANCE SHEET'!J7-'BALANCE SHEET'!I7)</f>
        <v/>
      </c>
      <c r="K8" s="15">
        <f>-('BALANCE SHEET'!K7-'BALANCE SHEET'!J7)</f>
        <v/>
      </c>
      <c r="L8" s="15">
        <f>-('BALANCE SHEET'!L7-'BALANCE SHEET'!K7)</f>
        <v/>
      </c>
      <c r="M8" s="15">
        <f>-('BALANCE SHEET'!M7-'BALANCE SHEET'!L7)</f>
        <v/>
      </c>
      <c r="N8" s="15">
        <f>-('BALANCE SHEET'!N7-'BALANCE SHEET'!M7)</f>
        <v/>
      </c>
      <c r="O8" s="18">
        <f>SUM(C8:N8)</f>
        <v/>
      </c>
    </row>
    <row r="9">
      <c r="A9" t="inlineStr">
        <is>
          <t>movement in trade receivables</t>
        </is>
      </c>
      <c r="C9" s="15">
        <f>-'BALANCE SHEET'!C8</f>
        <v/>
      </c>
      <c r="D9" s="15">
        <f>-('BALANCE SHEET'!D8-'BALANCE SHEET'!C8)</f>
        <v/>
      </c>
      <c r="E9" s="15">
        <f>-('BALANCE SHEET'!E8-'BALANCE SHEET'!D8)</f>
        <v/>
      </c>
      <c r="F9" s="15">
        <f>-('BALANCE SHEET'!F8-'BALANCE SHEET'!E8)</f>
        <v/>
      </c>
      <c r="G9" s="15">
        <f>-('BALANCE SHEET'!G8-'BALANCE SHEET'!F8)</f>
        <v/>
      </c>
      <c r="H9" s="15">
        <f>-('BALANCE SHEET'!H8-'BALANCE SHEET'!G8)</f>
        <v/>
      </c>
      <c r="I9" s="15">
        <f>-('BALANCE SHEET'!I8-'BALANCE SHEET'!H8)</f>
        <v/>
      </c>
      <c r="J9" s="15">
        <f>-('BALANCE SHEET'!J8-'BALANCE SHEET'!I8)</f>
        <v/>
      </c>
      <c r="K9" s="15">
        <f>-('BALANCE SHEET'!K8-'BALANCE SHEET'!J8)</f>
        <v/>
      </c>
      <c r="L9" s="15">
        <f>-('BALANCE SHEET'!L8-'BALANCE SHEET'!K8)</f>
        <v/>
      </c>
      <c r="M9" s="15">
        <f>-('BALANCE SHEET'!M8-'BALANCE SHEET'!L8)</f>
        <v/>
      </c>
      <c r="N9" s="15">
        <f>-('BALANCE SHEET'!N8-'BALANCE SHEET'!M8)</f>
        <v/>
      </c>
      <c r="O9" s="18">
        <f>SUM(C9:N9)</f>
        <v/>
      </c>
    </row>
    <row r="10">
      <c r="A10" t="inlineStr">
        <is>
          <t>movement in trade payables</t>
        </is>
      </c>
      <c r="C10" s="15">
        <f>'BALANCE SHEET'!C14</f>
        <v/>
      </c>
      <c r="D10" s="15">
        <f>('BALANCE SHEET'!D14-'BALANCE SHEET'!C14)</f>
        <v/>
      </c>
      <c r="E10" s="15">
        <f>('BALANCE SHEET'!E14-'BALANCE SHEET'!D14)</f>
        <v/>
      </c>
      <c r="F10" s="15">
        <f>('BALANCE SHEET'!F14-'BALANCE SHEET'!E14)</f>
        <v/>
      </c>
      <c r="G10" s="15">
        <f>('BALANCE SHEET'!G14-'BALANCE SHEET'!F14)</f>
        <v/>
      </c>
      <c r="H10" s="15">
        <f>('BALANCE SHEET'!H14-'BALANCE SHEET'!G14)</f>
        <v/>
      </c>
      <c r="I10" s="15">
        <f>('BALANCE SHEET'!I14-'BALANCE SHEET'!H14)</f>
        <v/>
      </c>
      <c r="J10" s="15">
        <f>('BALANCE SHEET'!J14-'BALANCE SHEET'!I14)</f>
        <v/>
      </c>
      <c r="K10" s="15">
        <f>('BALANCE SHEET'!K14-'BALANCE SHEET'!J14)</f>
        <v/>
      </c>
      <c r="L10" s="15">
        <f>('BALANCE SHEET'!L14-'BALANCE SHEET'!K14)</f>
        <v/>
      </c>
      <c r="M10" s="15">
        <f>('BALANCE SHEET'!M14-'BALANCE SHEET'!L14)</f>
        <v/>
      </c>
      <c r="N10" s="15">
        <f>('BALANCE SHEET'!N14-'BALANCE SHEET'!M14)</f>
        <v/>
      </c>
      <c r="O10" s="18">
        <f>SUM(C10:N10)</f>
        <v/>
      </c>
    </row>
    <row r="11">
      <c r="A11" s="2" t="inlineStr">
        <is>
          <t>CASH FROM OPERATIONS</t>
        </is>
      </c>
      <c r="C11" s="18">
        <f>SUM(C5:C10)</f>
        <v/>
      </c>
      <c r="D11" s="18">
        <f>SUM(D5:D10)</f>
        <v/>
      </c>
      <c r="E11" s="18">
        <f>SUM(E5:E10)</f>
        <v/>
      </c>
      <c r="F11" s="18">
        <f>SUM(F5:F10)</f>
        <v/>
      </c>
      <c r="G11" s="18">
        <f>SUM(G5:G10)</f>
        <v/>
      </c>
      <c r="H11" s="18">
        <f>SUM(H5:H10)</f>
        <v/>
      </c>
      <c r="I11" s="18">
        <f>SUM(I5:I10)</f>
        <v/>
      </c>
      <c r="J11" s="18">
        <f>SUM(J5:J10)</f>
        <v/>
      </c>
      <c r="K11" s="18">
        <f>SUM(K5:K10)</f>
        <v/>
      </c>
      <c r="L11" s="18">
        <f>SUM(L5:L10)</f>
        <v/>
      </c>
      <c r="M11" s="18">
        <f>SUM(M5:M10)</f>
        <v/>
      </c>
      <c r="N11" s="18">
        <f>SUM(N5:N10)</f>
        <v/>
      </c>
      <c r="O11" s="18">
        <f>SUM(C11:N11)</f>
        <v/>
      </c>
    </row>
    <row r="12">
      <c r="A12" t="inlineStr">
        <is>
          <t>customer deposits received</t>
        </is>
      </c>
      <c r="C12" s="15">
        <f>ASSUMPTIONS!C21*ASSUMPTIONS!C23</f>
        <v/>
      </c>
      <c r="D12" s="15">
        <f>ASSUMPTIONS!D21*ASSUMPTIONS!D23</f>
        <v/>
      </c>
      <c r="E12" s="15">
        <f>ASSUMPTIONS!E21*ASSUMPTIONS!E23</f>
        <v/>
      </c>
      <c r="F12" s="15">
        <f>ASSUMPTIONS!F21*ASSUMPTIONS!F23</f>
        <v/>
      </c>
      <c r="G12" s="15">
        <f>ASSUMPTIONS!G21*ASSUMPTIONS!G23</f>
        <v/>
      </c>
      <c r="H12" s="15">
        <f>ASSUMPTIONS!H21*ASSUMPTIONS!H23</f>
        <v/>
      </c>
      <c r="I12" s="15">
        <f>ASSUMPTIONS!I21*ASSUMPTIONS!I23</f>
        <v/>
      </c>
      <c r="J12" s="15">
        <f>ASSUMPTIONS!J21*ASSUMPTIONS!J23</f>
        <v/>
      </c>
      <c r="K12" s="15">
        <f>ASSUMPTIONS!K21*ASSUMPTIONS!K23</f>
        <v/>
      </c>
      <c r="L12" s="15">
        <f>ASSUMPTIONS!L21*ASSUMPTIONS!L23</f>
        <v/>
      </c>
      <c r="M12" s="15">
        <f>ASSUMPTIONS!M21*ASSUMPTIONS!M23</f>
        <v/>
      </c>
      <c r="N12" s="15">
        <f>ASSUMPTIONS!N21*ASSUMPTIONS!N23</f>
        <v/>
      </c>
      <c r="O12" s="18">
        <f>SUM(C12:N12)</f>
        <v/>
      </c>
    </row>
    <row r="13">
      <c r="A13" t="inlineStr">
        <is>
          <t>customer deposits refunded</t>
        </is>
      </c>
      <c r="C13" s="15">
        <f>-ASSUMPTIONS!C24*ASSUMPTIONS!C23</f>
        <v/>
      </c>
      <c r="D13" s="15">
        <f>-ASSUMPTIONS!D24*ASSUMPTIONS!D23</f>
        <v/>
      </c>
      <c r="E13" s="15">
        <f>-ASSUMPTIONS!E24*ASSUMPTIONS!E23</f>
        <v/>
      </c>
      <c r="F13" s="15">
        <f>-ASSUMPTIONS!F24*ASSUMPTIONS!F23</f>
        <v/>
      </c>
      <c r="G13" s="15">
        <f>-ASSUMPTIONS!G24*ASSUMPTIONS!G23</f>
        <v/>
      </c>
      <c r="H13" s="15">
        <f>-ASSUMPTIONS!H24*ASSUMPTIONS!H23</f>
        <v/>
      </c>
      <c r="I13" s="15">
        <f>-ASSUMPTIONS!I24*ASSUMPTIONS!I23</f>
        <v/>
      </c>
      <c r="J13" s="15">
        <f>-ASSUMPTIONS!J24*ASSUMPTIONS!J23</f>
        <v/>
      </c>
      <c r="K13" s="15">
        <f>-ASSUMPTIONS!K24*ASSUMPTIONS!K23</f>
        <v/>
      </c>
      <c r="L13" s="15">
        <f>-ASSUMPTIONS!L24*ASSUMPTIONS!L23</f>
        <v/>
      </c>
      <c r="M13" s="15">
        <f>-ASSUMPTIONS!M24*ASSUMPTIONS!M23</f>
        <v/>
      </c>
      <c r="N13" s="15">
        <f>-ASSUMPTIONS!N24*ASSUMPTIONS!N23</f>
        <v/>
      </c>
      <c r="O13" s="18">
        <f>SUM(C13:N13)</f>
        <v/>
      </c>
    </row>
    <row r="14">
      <c r="A14" t="inlineStr">
        <is>
          <t>corporate tax PAID (quarterly)</t>
        </is>
      </c>
      <c r="C14" s="15">
        <f>-IF(MOD(1,3)=0,-SUM('P&amp;L'!A18:'P&amp;L'!C18),0)</f>
        <v/>
      </c>
      <c r="D14" s="15">
        <f>-IF(MOD(2,3)=0,-SUM('P&amp;L'!B18:'P&amp;L'!D18),0)</f>
        <v/>
      </c>
      <c r="E14" s="15">
        <f>-IF(MOD(3,3)=0,-SUM('P&amp;L'!C18:'P&amp;L'!E18),0)</f>
        <v/>
      </c>
      <c r="F14" s="15">
        <f>-IF(MOD(4,3)=0,-SUM('P&amp;L'!D18:'P&amp;L'!F18),0)</f>
        <v/>
      </c>
      <c r="G14" s="15">
        <f>-IF(MOD(5,3)=0,-SUM('P&amp;L'!E18:'P&amp;L'!G18),0)</f>
        <v/>
      </c>
      <c r="H14" s="15">
        <f>-IF(MOD(6,3)=0,-SUM('P&amp;L'!F18:'P&amp;L'!H18),0)</f>
        <v/>
      </c>
      <c r="I14" s="15">
        <f>-IF(MOD(7,3)=0,-SUM('P&amp;L'!G18:'P&amp;L'!I18),0)</f>
        <v/>
      </c>
      <c r="J14" s="15">
        <f>-IF(MOD(8,3)=0,-SUM('P&amp;L'!H18:'P&amp;L'!J18),0)</f>
        <v/>
      </c>
      <c r="K14" s="15">
        <f>-IF(MOD(9,3)=0,-SUM('P&amp;L'!I18:'P&amp;L'!K18),0)</f>
        <v/>
      </c>
      <c r="L14" s="15">
        <f>-IF(MOD(10,3)=0,-SUM('P&amp;L'!J18:'P&amp;L'!L18),0)</f>
        <v/>
      </c>
      <c r="M14" s="15">
        <f>-IF(MOD(11,3)=0,-SUM('P&amp;L'!K18:'P&amp;L'!M18),0)</f>
        <v/>
      </c>
      <c r="N14" s="15">
        <f>-IF(MOD(12,3)=0,-SUM('P&amp;L'!L18:'P&amp;L'!N18),0)</f>
        <v/>
      </c>
      <c r="O14" s="18">
        <f>SUM(C14:N14)</f>
        <v/>
      </c>
    </row>
    <row r="15">
      <c r="A15" t="inlineStr">
        <is>
          <t>capital expenditure</t>
        </is>
      </c>
      <c r="C15" s="15">
        <f>-ASSUMPTIONS!C51</f>
        <v/>
      </c>
      <c r="D15" s="15">
        <f>-ASSUMPTIONS!D51</f>
        <v/>
      </c>
      <c r="E15" s="15">
        <f>-ASSUMPTIONS!E51</f>
        <v/>
      </c>
      <c r="F15" s="15">
        <f>-ASSUMPTIONS!F51</f>
        <v/>
      </c>
      <c r="G15" s="15">
        <f>-ASSUMPTIONS!G51</f>
        <v/>
      </c>
      <c r="H15" s="15">
        <f>-ASSUMPTIONS!H51</f>
        <v/>
      </c>
      <c r="I15" s="15">
        <f>-ASSUMPTIONS!I51</f>
        <v/>
      </c>
      <c r="J15" s="15">
        <f>-ASSUMPTIONS!J51</f>
        <v/>
      </c>
      <c r="K15" s="15">
        <f>-ASSUMPTIONS!K51</f>
        <v/>
      </c>
      <c r="L15" s="15">
        <f>-ASSUMPTIONS!L51</f>
        <v/>
      </c>
      <c r="M15" s="15">
        <f>-ASSUMPTIONS!M51</f>
        <v/>
      </c>
      <c r="N15" s="15">
        <f>-ASSUMPTIONS!N51</f>
        <v/>
      </c>
      <c r="O15" s="18">
        <f>SUM(C15:N15)</f>
        <v/>
      </c>
    </row>
    <row r="16">
      <c r="A16" s="2" t="inlineStr">
        <is>
          <t>NET MOVEMENT IN CASH</t>
        </is>
      </c>
      <c r="C16" s="18">
        <f>C11+C12+C13+C14+C15</f>
        <v/>
      </c>
      <c r="D16" s="18">
        <f>D11+D12+D13+D14+D15</f>
        <v/>
      </c>
      <c r="E16" s="18">
        <f>E11+E12+E13+E14+E15</f>
        <v/>
      </c>
      <c r="F16" s="18">
        <f>F11+F12+F13+F14+F15</f>
        <v/>
      </c>
      <c r="G16" s="18">
        <f>G11+G12+G13+G14+G15</f>
        <v/>
      </c>
      <c r="H16" s="18">
        <f>H11+H12+H13+H14+H15</f>
        <v/>
      </c>
      <c r="I16" s="18">
        <f>I11+I12+I13+I14+I15</f>
        <v/>
      </c>
      <c r="J16" s="18">
        <f>J11+J12+J13+J14+J15</f>
        <v/>
      </c>
      <c r="K16" s="18">
        <f>K11+K12+K13+K14+K15</f>
        <v/>
      </c>
      <c r="L16" s="18">
        <f>L11+L12+L13+L14+L15</f>
        <v/>
      </c>
      <c r="M16" s="18">
        <f>M11+M12+M13+M14+M15</f>
        <v/>
      </c>
      <c r="N16" s="18">
        <f>N11+N12+N13+N14+N15</f>
        <v/>
      </c>
      <c r="O16" s="18">
        <f>SUM(C16:N16)</f>
        <v/>
      </c>
    </row>
    <row r="17">
      <c r="A17" t="inlineStr">
        <is>
          <t>Opening cash</t>
        </is>
      </c>
      <c r="C17" s="15">
        <f>ASSUMPTIONS!$C$46</f>
        <v/>
      </c>
      <c r="D17" s="15">
        <f>C17+C16</f>
        <v/>
      </c>
      <c r="E17" s="15">
        <f>D17+D16</f>
        <v/>
      </c>
      <c r="F17" s="15">
        <f>E17+E16</f>
        <v/>
      </c>
      <c r="G17" s="15">
        <f>F17+F16</f>
        <v/>
      </c>
      <c r="H17" s="15">
        <f>G17+G16</f>
        <v/>
      </c>
      <c r="I17" s="15">
        <f>H17+H16</f>
        <v/>
      </c>
      <c r="J17" s="15">
        <f>I17+I16</f>
        <v/>
      </c>
      <c r="K17" s="15">
        <f>J17+J16</f>
        <v/>
      </c>
      <c r="L17" s="15">
        <f>K17+K16</f>
        <v/>
      </c>
      <c r="M17" s="15">
        <f>L17+L16</f>
        <v/>
      </c>
      <c r="N17" s="15">
        <f>M17+M16</f>
        <v/>
      </c>
    </row>
    <row r="18">
      <c r="A18" s="2" t="inlineStr">
        <is>
          <t>CLOSING CASH</t>
        </is>
      </c>
      <c r="C18" s="19">
        <f>C17+C16</f>
        <v/>
      </c>
      <c r="D18" s="19">
        <f>D17+D16</f>
        <v/>
      </c>
      <c r="E18" s="19">
        <f>E17+E16</f>
        <v/>
      </c>
      <c r="F18" s="19">
        <f>F17+F16</f>
        <v/>
      </c>
      <c r="G18" s="19">
        <f>G17+G16</f>
        <v/>
      </c>
      <c r="H18" s="19">
        <f>H17+H16</f>
        <v/>
      </c>
      <c r="I18" s="19">
        <f>I17+I16</f>
        <v/>
      </c>
      <c r="J18" s="19">
        <f>J17+J16</f>
        <v/>
      </c>
      <c r="K18" s="19">
        <f>K17+K16</f>
        <v/>
      </c>
      <c r="L18" s="19">
        <f>L17+L16</f>
        <v/>
      </c>
      <c r="M18" s="19">
        <f>M17+M16</f>
        <v/>
      </c>
      <c r="N18" s="19">
        <f>N17+N16</f>
        <v/>
      </c>
    </row>
    <row r="19">
      <c r="A19" t="inlineStr">
        <is>
          <t>Minimum cash floor (policy)</t>
        </is>
      </c>
      <c r="C19" s="15">
        <f>ASSUMPTIONS!$C$48</f>
        <v/>
      </c>
      <c r="D19" s="15">
        <f>ASSUMPTIONS!$C$48</f>
        <v/>
      </c>
      <c r="E19" s="15">
        <f>ASSUMPTIONS!$C$48</f>
        <v/>
      </c>
      <c r="F19" s="15">
        <f>ASSUMPTIONS!$C$48</f>
        <v/>
      </c>
      <c r="G19" s="15">
        <f>ASSUMPTIONS!$C$48</f>
        <v/>
      </c>
      <c r="H19" s="15">
        <f>ASSUMPTIONS!$C$48</f>
        <v/>
      </c>
      <c r="I19" s="15">
        <f>ASSUMPTIONS!$C$48</f>
        <v/>
      </c>
      <c r="J19" s="15">
        <f>ASSUMPTIONS!$C$48</f>
        <v/>
      </c>
      <c r="K19" s="15">
        <f>ASSUMPTIONS!$C$48</f>
        <v/>
      </c>
      <c r="L19" s="15">
        <f>ASSUMPTIONS!$C$48</f>
        <v/>
      </c>
      <c r="M19" s="15">
        <f>ASSUMPTIONS!$C$48</f>
        <v/>
      </c>
      <c r="N19" s="15">
        <f>ASSUMPTIONS!$C$48</f>
        <v/>
      </c>
    </row>
    <row r="20">
      <c r="A20" s="2" t="inlineStr">
        <is>
          <t>HEADROOM over the floor</t>
        </is>
      </c>
      <c r="C20" s="18">
        <f>C18-C19</f>
        <v/>
      </c>
      <c r="D20" s="18">
        <f>D18-D19</f>
        <v/>
      </c>
      <c r="E20" s="18">
        <f>E18-E19</f>
        <v/>
      </c>
      <c r="F20" s="18">
        <f>F18-F19</f>
        <v/>
      </c>
      <c r="G20" s="18">
        <f>G18-G19</f>
        <v/>
      </c>
      <c r="H20" s="18">
        <f>H18-H19</f>
        <v/>
      </c>
      <c r="I20" s="18">
        <f>I18-I19</f>
        <v/>
      </c>
      <c r="J20" s="18">
        <f>J18-J19</f>
        <v/>
      </c>
      <c r="K20" s="18">
        <f>K18-K19</f>
        <v/>
      </c>
      <c r="L20" s="18">
        <f>L18-L19</f>
        <v/>
      </c>
      <c r="M20" s="18">
        <f>M18-M19</f>
        <v/>
      </c>
      <c r="N20" s="18">
        <f>N18-N19</f>
        <v/>
      </c>
    </row>
    <row r="21">
      <c r="A21" s="2" t="inlineStr">
        <is>
          <t>ALARM</t>
        </is>
      </c>
      <c r="C21" s="23">
        <f>IF(C18&lt;C19,"BREACH","ok")</f>
        <v/>
      </c>
      <c r="D21" s="23">
        <f>IF(D18&lt;D19,"BREACH","ok")</f>
        <v/>
      </c>
      <c r="E21" s="23">
        <f>IF(E18&lt;E19,"BREACH","ok")</f>
        <v/>
      </c>
      <c r="F21" s="23">
        <f>IF(F18&lt;F19,"BREACH","ok")</f>
        <v/>
      </c>
      <c r="G21" s="23">
        <f>IF(G18&lt;G19,"BREACH","ok")</f>
        <v/>
      </c>
      <c r="H21" s="23">
        <f>IF(H18&lt;H19,"BREACH","ok")</f>
        <v/>
      </c>
      <c r="I21" s="23">
        <f>IF(I18&lt;I19,"BREACH","ok")</f>
        <v/>
      </c>
      <c r="J21" s="23">
        <f>IF(J18&lt;J19,"BREACH","ok")</f>
        <v/>
      </c>
      <c r="K21" s="23">
        <f>IF(K18&lt;K19,"BREACH","ok")</f>
        <v/>
      </c>
      <c r="L21" s="23">
        <f>IF(L18&lt;L19,"BREACH","ok")</f>
        <v/>
      </c>
      <c r="M21" s="23">
        <f>IF(M18&lt;M19,"BREACH","ok")</f>
        <v/>
      </c>
      <c r="N21" s="23">
        <f>IF(N18&lt;N19,"BREACH","ok")</f>
        <v/>
      </c>
    </row>
    <row r="23">
      <c r="A23" s="3" t="inlineStr">
        <is>
          <t>Closing cash INCLUDES customers' refundable deposits. Cash genuinely ours = closing cash less the deposit liability on the balance sheet.</t>
        </is>
      </c>
    </row>
    <row r="24">
      <c r="A24" s="2" t="inlineStr">
        <is>
          <t>Cash genuinely the company's</t>
        </is>
      </c>
      <c r="C24" s="18">
        <f>C18-'BALANCE SHEET'!C16</f>
        <v/>
      </c>
      <c r="D24" s="18">
        <f>D18-'BALANCE SHEET'!D16</f>
        <v/>
      </c>
      <c r="E24" s="18">
        <f>E18-'BALANCE SHEET'!E16</f>
        <v/>
      </c>
      <c r="F24" s="18">
        <f>F18-'BALANCE SHEET'!F16</f>
        <v/>
      </c>
      <c r="G24" s="18">
        <f>G18-'BALANCE SHEET'!G16</f>
        <v/>
      </c>
      <c r="H24" s="18">
        <f>H18-'BALANCE SHEET'!H16</f>
        <v/>
      </c>
      <c r="I24" s="18">
        <f>I18-'BALANCE SHEET'!I16</f>
        <v/>
      </c>
      <c r="J24" s="18">
        <f>J18-'BALANCE SHEET'!J16</f>
        <v/>
      </c>
      <c r="K24" s="18">
        <f>K18-'BALANCE SHEET'!K16</f>
        <v/>
      </c>
      <c r="L24" s="18">
        <f>L18-'BALANCE SHEET'!L16</f>
        <v/>
      </c>
      <c r="M24" s="18">
        <f>M18-'BALANCE SHEET'!M16</f>
        <v/>
      </c>
      <c r="N24" s="18">
        <f>N18-'BALANCE SHEET'!N16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46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7" customWidth="1" min="15" max="15"/>
  </cols>
  <sheetData>
    <row r="1">
      <c r="A1" s="1" t="inlineStr">
        <is>
          <t>BREAK-EVEN</t>
        </is>
      </c>
    </row>
    <row r="2">
      <c r="A2" s="3" t="inlineStr">
        <is>
          <t>Management accounting — jars per day needed to cover costs</t>
        </is>
      </c>
    </row>
    <row r="4">
      <c r="A4" s="2" t="inlineStr"/>
      <c r="C4" s="16" t="inlineStr">
        <is>
          <t>M1</t>
        </is>
      </c>
      <c r="D4" s="16" t="inlineStr">
        <is>
          <t>M2</t>
        </is>
      </c>
      <c r="E4" s="16" t="inlineStr">
        <is>
          <t>M3</t>
        </is>
      </c>
      <c r="F4" s="16" t="inlineStr">
        <is>
          <t>M4</t>
        </is>
      </c>
      <c r="G4" s="16" t="inlineStr">
        <is>
          <t>M5</t>
        </is>
      </c>
      <c r="H4" s="16" t="inlineStr">
        <is>
          <t>M6</t>
        </is>
      </c>
      <c r="I4" s="16" t="inlineStr">
        <is>
          <t>M7</t>
        </is>
      </c>
      <c r="J4" s="16" t="inlineStr">
        <is>
          <t>M8</t>
        </is>
      </c>
      <c r="K4" s="16" t="inlineStr">
        <is>
          <t>M9</t>
        </is>
      </c>
      <c r="L4" s="16" t="inlineStr">
        <is>
          <t>M10</t>
        </is>
      </c>
      <c r="M4" s="16" t="inlineStr">
        <is>
          <t>M11</t>
        </is>
      </c>
      <c r="N4" s="16" t="inlineStr">
        <is>
          <t>M12</t>
        </is>
      </c>
      <c r="O4" s="16" t="inlineStr">
        <is>
          <t>YEAR 1</t>
        </is>
      </c>
    </row>
    <row r="5">
      <c r="A5" s="2" t="inlineStr">
        <is>
          <t>Contribution per unit</t>
        </is>
      </c>
      <c r="B5" s="3" t="inlineStr">
        <is>
          <t>UGX</t>
        </is>
      </c>
      <c r="C5" s="24">
        <f>ASSUMPTIONS!C15-ASSUMPTIONS!C16</f>
        <v/>
      </c>
      <c r="D5" s="24">
        <f>ASSUMPTIONS!D15-ASSUMPTIONS!D16</f>
        <v/>
      </c>
      <c r="E5" s="24">
        <f>ASSUMPTIONS!E15-ASSUMPTIONS!E16</f>
        <v/>
      </c>
      <c r="F5" s="24">
        <f>ASSUMPTIONS!F15-ASSUMPTIONS!F16</f>
        <v/>
      </c>
      <c r="G5" s="24">
        <f>ASSUMPTIONS!G15-ASSUMPTIONS!G16</f>
        <v/>
      </c>
      <c r="H5" s="24">
        <f>ASSUMPTIONS!H15-ASSUMPTIONS!H16</f>
        <v/>
      </c>
      <c r="I5" s="24">
        <f>ASSUMPTIONS!I15-ASSUMPTIONS!I16</f>
        <v/>
      </c>
      <c r="J5" s="24">
        <f>ASSUMPTIONS!J15-ASSUMPTIONS!J16</f>
        <v/>
      </c>
      <c r="K5" s="24">
        <f>ASSUMPTIONS!K15-ASSUMPTIONS!K16</f>
        <v/>
      </c>
      <c r="L5" s="24">
        <f>ASSUMPTIONS!L15-ASSUMPTIONS!L16</f>
        <v/>
      </c>
      <c r="M5" s="24">
        <f>ASSUMPTIONS!M15-ASSUMPTIONS!M16</f>
        <v/>
      </c>
      <c r="N5" s="24">
        <f>ASSUMPTIONS!N15-ASSUMPTIONS!N16</f>
        <v/>
      </c>
    </row>
    <row r="6">
      <c r="A6" t="inlineStr">
        <is>
          <t>Fixed costs — cash (opex + salaries)</t>
        </is>
      </c>
      <c r="B6" s="3" t="inlineStr">
        <is>
          <t>UGX</t>
        </is>
      </c>
      <c r="C6" s="15">
        <f>ASSUMPTIONS!C28+ASSUMPTIONS!C32</f>
        <v/>
      </c>
      <c r="D6" s="15">
        <f>ASSUMPTIONS!D28+ASSUMPTIONS!D32</f>
        <v/>
      </c>
      <c r="E6" s="15">
        <f>ASSUMPTIONS!E28+ASSUMPTIONS!E32</f>
        <v/>
      </c>
      <c r="F6" s="15">
        <f>ASSUMPTIONS!F28+ASSUMPTIONS!F32</f>
        <v/>
      </c>
      <c r="G6" s="15">
        <f>ASSUMPTIONS!G28+ASSUMPTIONS!G32</f>
        <v/>
      </c>
      <c r="H6" s="15">
        <f>ASSUMPTIONS!H28+ASSUMPTIONS!H32</f>
        <v/>
      </c>
      <c r="I6" s="15">
        <f>ASSUMPTIONS!I28+ASSUMPTIONS!I32</f>
        <v/>
      </c>
      <c r="J6" s="15">
        <f>ASSUMPTIONS!J28+ASSUMPTIONS!J32</f>
        <v/>
      </c>
      <c r="K6" s="15">
        <f>ASSUMPTIONS!K28+ASSUMPTIONS!K32</f>
        <v/>
      </c>
      <c r="L6" s="15">
        <f>ASSUMPTIONS!L28+ASSUMPTIONS!L32</f>
        <v/>
      </c>
      <c r="M6" s="15">
        <f>ASSUMPTIONS!M28+ASSUMPTIONS!M32</f>
        <v/>
      </c>
      <c r="N6" s="15">
        <f>ASSUMPTIONS!N28+ASSUMPTIONS!N32</f>
        <v/>
      </c>
    </row>
    <row r="7">
      <c r="A7" t="inlineStr">
        <is>
          <t xml:space="preserve">  plus depreciation</t>
        </is>
      </c>
      <c r="B7" s="3" t="inlineStr">
        <is>
          <t>UGX</t>
        </is>
      </c>
      <c r="C7" s="15">
        <f>ASSUMPTIONS!$C$43/ASSUMPTIONS!$C$44</f>
        <v/>
      </c>
      <c r="D7" s="15">
        <f>ASSUMPTIONS!$C$43/ASSUMPTIONS!$C$44</f>
        <v/>
      </c>
      <c r="E7" s="15">
        <f>ASSUMPTIONS!$C$43/ASSUMPTIONS!$C$44</f>
        <v/>
      </c>
      <c r="F7" s="15">
        <f>ASSUMPTIONS!$C$43/ASSUMPTIONS!$C$44</f>
        <v/>
      </c>
      <c r="G7" s="15">
        <f>ASSUMPTIONS!$C$43/ASSUMPTIONS!$C$44</f>
        <v/>
      </c>
      <c r="H7" s="15">
        <f>ASSUMPTIONS!$C$43/ASSUMPTIONS!$C$44</f>
        <v/>
      </c>
      <c r="I7" s="15">
        <f>ASSUMPTIONS!$C$43/ASSUMPTIONS!$C$44</f>
        <v/>
      </c>
      <c r="J7" s="15">
        <f>ASSUMPTIONS!$C$43/ASSUMPTIONS!$C$44</f>
        <v/>
      </c>
      <c r="K7" s="15">
        <f>ASSUMPTIONS!$C$43/ASSUMPTIONS!$C$44</f>
        <v/>
      </c>
      <c r="L7" s="15">
        <f>ASSUMPTIONS!$C$43/ASSUMPTIONS!$C$44</f>
        <v/>
      </c>
      <c r="M7" s="15">
        <f>ASSUMPTIONS!$C$43/ASSUMPTIONS!$C$44</f>
        <v/>
      </c>
      <c r="N7" s="15">
        <f>ASSUMPTIONS!$C$43/ASSUMPTIONS!$C$44</f>
        <v/>
      </c>
    </row>
    <row r="8">
      <c r="A8" t="inlineStr">
        <is>
          <t xml:space="preserve">  plus jar programme</t>
        </is>
      </c>
      <c r="B8" s="3" t="inlineStr">
        <is>
          <t>UGX</t>
        </is>
      </c>
      <c r="C8" s="15">
        <f>ASSUMPTIONS!C21*ASSUMPTIONS!C22</f>
        <v/>
      </c>
      <c r="D8" s="15">
        <f>ASSUMPTIONS!D21*ASSUMPTIONS!D22</f>
        <v/>
      </c>
      <c r="E8" s="15">
        <f>ASSUMPTIONS!E21*ASSUMPTIONS!E22</f>
        <v/>
      </c>
      <c r="F8" s="15">
        <f>ASSUMPTIONS!F21*ASSUMPTIONS!F22</f>
        <v/>
      </c>
      <c r="G8" s="15">
        <f>ASSUMPTIONS!G21*ASSUMPTIONS!G22</f>
        <v/>
      </c>
      <c r="H8" s="15">
        <f>ASSUMPTIONS!H21*ASSUMPTIONS!H22</f>
        <v/>
      </c>
      <c r="I8" s="15">
        <f>ASSUMPTIONS!I21*ASSUMPTIONS!I22</f>
        <v/>
      </c>
      <c r="J8" s="15">
        <f>ASSUMPTIONS!J21*ASSUMPTIONS!J22</f>
        <v/>
      </c>
      <c r="K8" s="15">
        <f>ASSUMPTIONS!K21*ASSUMPTIONS!K22</f>
        <v/>
      </c>
      <c r="L8" s="15">
        <f>ASSUMPTIONS!L21*ASSUMPTIONS!L22</f>
        <v/>
      </c>
      <c r="M8" s="15">
        <f>ASSUMPTIONS!M21*ASSUMPTIONS!M22</f>
        <v/>
      </c>
      <c r="N8" s="15">
        <f>ASSUMPTIONS!N21*ASSUMPTIONS!N22</f>
        <v/>
      </c>
    </row>
    <row r="9">
      <c r="A9" t="inlineStr">
        <is>
          <t>Cash break-even — excl jar programme</t>
        </is>
      </c>
      <c r="B9" s="3" t="inlineStr">
        <is>
          <t>jars/day</t>
        </is>
      </c>
      <c r="C9" s="17">
        <f>C6/C5/ASSUMPTIONS!C9</f>
        <v/>
      </c>
      <c r="D9" s="17">
        <f>D6/D5/ASSUMPTIONS!D9</f>
        <v/>
      </c>
      <c r="E9" s="17">
        <f>E6/E5/ASSUMPTIONS!E9</f>
        <v/>
      </c>
      <c r="F9" s="17">
        <f>F6/F5/ASSUMPTIONS!F9</f>
        <v/>
      </c>
      <c r="G9" s="17">
        <f>G6/G5/ASSUMPTIONS!G9</f>
        <v/>
      </c>
      <c r="H9" s="17">
        <f>H6/H5/ASSUMPTIONS!H9</f>
        <v/>
      </c>
      <c r="I9" s="17">
        <f>I6/I5/ASSUMPTIONS!I9</f>
        <v/>
      </c>
      <c r="J9" s="17">
        <f>J6/J5/ASSUMPTIONS!J9</f>
        <v/>
      </c>
      <c r="K9" s="17">
        <f>K6/K5/ASSUMPTIONS!K9</f>
        <v/>
      </c>
      <c r="L9" s="17">
        <f>L6/L5/ASSUMPTIONS!L9</f>
        <v/>
      </c>
      <c r="M9" s="17">
        <f>M6/M5/ASSUMPTIONS!M9</f>
        <v/>
      </c>
      <c r="N9" s="17">
        <f>N6/N5/ASSUMPTIONS!N9</f>
        <v/>
      </c>
    </row>
    <row r="10">
      <c r="A10" t="inlineStr">
        <is>
          <t>Full break-even — excl jar programme</t>
        </is>
      </c>
      <c r="B10" s="3" t="inlineStr">
        <is>
          <t>jars/day</t>
        </is>
      </c>
      <c r="C10" s="17">
        <f>(C6+C7)/C5/ASSUMPTIONS!C9</f>
        <v/>
      </c>
      <c r="D10" s="17">
        <f>(D6+D7)/D5/ASSUMPTIONS!D9</f>
        <v/>
      </c>
      <c r="E10" s="17">
        <f>(E6+E7)/E5/ASSUMPTIONS!E9</f>
        <v/>
      </c>
      <c r="F10" s="17">
        <f>(F6+F7)/F5/ASSUMPTIONS!F9</f>
        <v/>
      </c>
      <c r="G10" s="17">
        <f>(G6+G7)/G5/ASSUMPTIONS!G9</f>
        <v/>
      </c>
      <c r="H10" s="17">
        <f>(H6+H7)/H5/ASSUMPTIONS!H9</f>
        <v/>
      </c>
      <c r="I10" s="17">
        <f>(I6+I7)/I5/ASSUMPTIONS!I9</f>
        <v/>
      </c>
      <c r="J10" s="17">
        <f>(J6+J7)/J5/ASSUMPTIONS!J9</f>
        <v/>
      </c>
      <c r="K10" s="17">
        <f>(K6+K7)/K5/ASSUMPTIONS!K9</f>
        <v/>
      </c>
      <c r="L10" s="17">
        <f>(L6+L7)/L5/ASSUMPTIONS!L9</f>
        <v/>
      </c>
      <c r="M10" s="17">
        <f>(M6+M7)/M5/ASSUMPTIONS!M9</f>
        <v/>
      </c>
      <c r="N10" s="17">
        <f>(N6+N7)/N5/ASSUMPTIONS!N9</f>
        <v/>
      </c>
    </row>
    <row r="11">
      <c r="A11" t="inlineStr">
        <is>
          <t>Cash break-even — INCL jar programme</t>
        </is>
      </c>
      <c r="B11" s="3" t="inlineStr">
        <is>
          <t>jars/day</t>
        </is>
      </c>
      <c r="C11" s="17">
        <f>(C6+C8)/C5/ASSUMPTIONS!C9</f>
        <v/>
      </c>
      <c r="D11" s="17">
        <f>(D6+D8)/D5/ASSUMPTIONS!D9</f>
        <v/>
      </c>
      <c r="E11" s="17">
        <f>(E6+E8)/E5/ASSUMPTIONS!E9</f>
        <v/>
      </c>
      <c r="F11" s="17">
        <f>(F6+F8)/F5/ASSUMPTIONS!F9</f>
        <v/>
      </c>
      <c r="G11" s="17">
        <f>(G6+G8)/G5/ASSUMPTIONS!G9</f>
        <v/>
      </c>
      <c r="H11" s="17">
        <f>(H6+H8)/H5/ASSUMPTIONS!H9</f>
        <v/>
      </c>
      <c r="I11" s="17">
        <f>(I6+I8)/I5/ASSUMPTIONS!I9</f>
        <v/>
      </c>
      <c r="J11" s="17">
        <f>(J6+J8)/J5/ASSUMPTIONS!J9</f>
        <v/>
      </c>
      <c r="K11" s="17">
        <f>(K6+K8)/K5/ASSUMPTIONS!K9</f>
        <v/>
      </c>
      <c r="L11" s="17">
        <f>(L6+L8)/L5/ASSUMPTIONS!L9</f>
        <v/>
      </c>
      <c r="M11" s="17">
        <f>(M6+M8)/M5/ASSUMPTIONS!M9</f>
        <v/>
      </c>
      <c r="N11" s="17">
        <f>(N6+N8)/N5/ASSUMPTIONS!N9</f>
        <v/>
      </c>
    </row>
    <row r="12">
      <c r="A12" s="2" t="inlineStr">
        <is>
          <t>FULL BREAK-EVEN — INCL jar programme</t>
        </is>
      </c>
      <c r="B12" s="3" t="inlineStr">
        <is>
          <t>jars/day</t>
        </is>
      </c>
      <c r="C12" s="9">
        <f>(C6+C7+C8)/C5/ASSUMPTIONS!C9</f>
        <v/>
      </c>
      <c r="D12" s="9">
        <f>(D6+D7+D8)/D5/ASSUMPTIONS!D9</f>
        <v/>
      </c>
      <c r="E12" s="9">
        <f>(E6+E7+E8)/E5/ASSUMPTIONS!E9</f>
        <v/>
      </c>
      <c r="F12" s="9">
        <f>(F6+F7+F8)/F5/ASSUMPTIONS!F9</f>
        <v/>
      </c>
      <c r="G12" s="9">
        <f>(G6+G7+G8)/G5/ASSUMPTIONS!G9</f>
        <v/>
      </c>
      <c r="H12" s="9">
        <f>(H6+H7+H8)/H5/ASSUMPTIONS!H9</f>
        <v/>
      </c>
      <c r="I12" s="9">
        <f>(I6+I7+I8)/I5/ASSUMPTIONS!I9</f>
        <v/>
      </c>
      <c r="J12" s="9">
        <f>(J6+J7+J8)/J5/ASSUMPTIONS!J9</f>
        <v/>
      </c>
      <c r="K12" s="9">
        <f>(K6+K7+K8)/K5/ASSUMPTIONS!K9</f>
        <v/>
      </c>
      <c r="L12" s="9">
        <f>(L6+L7+L8)/L5/ASSUMPTIONS!L9</f>
        <v/>
      </c>
      <c r="M12" s="9">
        <f>(M6+M7+M8)/M5/ASSUMPTIONS!M9</f>
        <v/>
      </c>
      <c r="N12" s="9">
        <f>(N6+N7+N8)/N5/ASSUMPTIONS!N9</f>
        <v/>
      </c>
    </row>
    <row r="13">
      <c r="A13" t="inlineStr">
        <is>
          <t>Planned output</t>
        </is>
      </c>
      <c r="B13" s="3" t="inlineStr">
        <is>
          <t>jars/day</t>
        </is>
      </c>
      <c r="C13" s="17">
        <f>ASSUMPTIONS!C10*ASSUMPTIONS!$C$5</f>
        <v/>
      </c>
      <c r="D13" s="17">
        <f>ASSUMPTIONS!D10*ASSUMPTIONS!$C$5</f>
        <v/>
      </c>
      <c r="E13" s="17">
        <f>ASSUMPTIONS!E10*ASSUMPTIONS!$C$5</f>
        <v/>
      </c>
      <c r="F13" s="17">
        <f>ASSUMPTIONS!F10*ASSUMPTIONS!$C$5</f>
        <v/>
      </c>
      <c r="G13" s="17">
        <f>ASSUMPTIONS!G10*ASSUMPTIONS!$C$5</f>
        <v/>
      </c>
      <c r="H13" s="17">
        <f>ASSUMPTIONS!H10*ASSUMPTIONS!$C$5</f>
        <v/>
      </c>
      <c r="I13" s="17">
        <f>ASSUMPTIONS!I10*ASSUMPTIONS!$C$5</f>
        <v/>
      </c>
      <c r="J13" s="17">
        <f>ASSUMPTIONS!J10*ASSUMPTIONS!$C$5</f>
        <v/>
      </c>
      <c r="K13" s="17">
        <f>ASSUMPTIONS!K10*ASSUMPTIONS!$C$5</f>
        <v/>
      </c>
      <c r="L13" s="17">
        <f>ASSUMPTIONS!L10*ASSUMPTIONS!$C$5</f>
        <v/>
      </c>
      <c r="M13" s="17">
        <f>ASSUMPTIONS!M10*ASSUMPTIONS!$C$5</f>
        <v/>
      </c>
      <c r="N13" s="17">
        <f>ASSUMPTIONS!N10*ASSUMPTIONS!$C$5</f>
        <v/>
      </c>
    </row>
    <row r="14">
      <c r="A14" s="2" t="inlineStr">
        <is>
          <t>HEADROOM over full break-even</t>
        </is>
      </c>
      <c r="B14" s="3" t="inlineStr">
        <is>
          <t>jars/day</t>
        </is>
      </c>
      <c r="C14" s="9">
        <f>C13-C12</f>
        <v/>
      </c>
      <c r="D14" s="9">
        <f>D13-D12</f>
        <v/>
      </c>
      <c r="E14" s="9">
        <f>E13-E12</f>
        <v/>
      </c>
      <c r="F14" s="9">
        <f>F13-F12</f>
        <v/>
      </c>
      <c r="G14" s="9">
        <f>G13-G12</f>
        <v/>
      </c>
      <c r="H14" s="9">
        <f>H13-H12</f>
        <v/>
      </c>
      <c r="I14" s="9">
        <f>I13-I12</f>
        <v/>
      </c>
      <c r="J14" s="9">
        <f>J13-J12</f>
        <v/>
      </c>
      <c r="K14" s="9">
        <f>K13-K12</f>
        <v/>
      </c>
      <c r="L14" s="9">
        <f>L13-L12</f>
        <v/>
      </c>
      <c r="M14" s="9">
        <f>M13-M12</f>
        <v/>
      </c>
      <c r="N14" s="9">
        <f>N13-N12</f>
        <v/>
      </c>
    </row>
    <row r="15">
      <c r="A15" s="2" t="inlineStr">
        <is>
          <t>ALARM</t>
        </is>
      </c>
      <c r="B15" s="3" t="inlineStr"/>
      <c r="C15" s="23">
        <f>IF(C14&lt;0,"BELOW BREAK-EVEN","ok")</f>
        <v/>
      </c>
      <c r="D15" s="23">
        <f>IF(D14&lt;0,"BELOW BREAK-EVEN","ok")</f>
        <v/>
      </c>
      <c r="E15" s="23">
        <f>IF(E14&lt;0,"BELOW BREAK-EVEN","ok")</f>
        <v/>
      </c>
      <c r="F15" s="23">
        <f>IF(F14&lt;0,"BELOW BREAK-EVEN","ok")</f>
        <v/>
      </c>
      <c r="G15" s="23">
        <f>IF(G14&lt;0,"BELOW BREAK-EVEN","ok")</f>
        <v/>
      </c>
      <c r="H15" s="23">
        <f>IF(H14&lt;0,"BELOW BREAK-EVEN","ok")</f>
        <v/>
      </c>
      <c r="I15" s="23">
        <f>IF(I14&lt;0,"BELOW BREAK-EVEN","ok")</f>
        <v/>
      </c>
      <c r="J15" s="23">
        <f>IF(J14&lt;0,"BELOW BREAK-EVEN","ok")</f>
        <v/>
      </c>
      <c r="K15" s="23">
        <f>IF(K14&lt;0,"BELOW BREAK-EVEN","ok")</f>
        <v/>
      </c>
      <c r="L15" s="23">
        <f>IF(L14&lt;0,"BELOW BREAK-EVEN","ok")</f>
        <v/>
      </c>
      <c r="M15" s="23">
        <f>IF(M14&lt;0,"BELOW BREAK-EVEN","ok")</f>
        <v/>
      </c>
      <c r="N15" s="23">
        <f>IF(N14&lt;0,"BELOW BREAK-EVEN","ok")</f>
        <v/>
      </c>
    </row>
    <row r="17">
      <c r="A17" s="3" t="inlineStr">
        <is>
          <t>Month 1 plans 500/day against a full break-even of 577/day. That is why Month 1 loses money. The whole risk sits in the first quarter, and it is a volume risk.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</cols>
  <sheetData>
    <row r="1">
      <c r="A1" s="1" t="inlineStr">
        <is>
          <t>13-WEEK ROLLING CASH FORECAST</t>
        </is>
      </c>
    </row>
    <row r="2">
      <c r="A2" s="3" t="inlineStr">
        <is>
          <t>Bragg priority #1 · CFO100 Session 5 · REBUILD IT EVERY MONDAY MORNING. Standing rule, no exceptions. Type over the seeds — this is a forecast you maintain, not a report you read.</t>
        </is>
      </c>
    </row>
    <row r="4">
      <c r="A4" s="2" t="inlineStr">
        <is>
          <t>Week commencing</t>
        </is>
      </c>
      <c r="B4" s="2" t="inlineStr"/>
      <c r="C4" s="16" t="inlineStr">
        <is>
          <t>W1</t>
        </is>
      </c>
      <c r="D4" s="16" t="inlineStr">
        <is>
          <t>W2</t>
        </is>
      </c>
      <c r="E4" s="16" t="inlineStr">
        <is>
          <t>W3</t>
        </is>
      </c>
      <c r="F4" s="16" t="inlineStr">
        <is>
          <t>W4</t>
        </is>
      </c>
      <c r="G4" s="16" t="inlineStr">
        <is>
          <t>W5</t>
        </is>
      </c>
      <c r="H4" s="16" t="inlineStr">
        <is>
          <t>W6</t>
        </is>
      </c>
      <c r="I4" s="16" t="inlineStr">
        <is>
          <t>W7</t>
        </is>
      </c>
      <c r="J4" s="16" t="inlineStr">
        <is>
          <t>W8</t>
        </is>
      </c>
      <c r="K4" s="16" t="inlineStr">
        <is>
          <t>W9</t>
        </is>
      </c>
      <c r="L4" s="16" t="inlineStr">
        <is>
          <t>W10</t>
        </is>
      </c>
      <c r="M4" s="16" t="inlineStr">
        <is>
          <t>W11</t>
        </is>
      </c>
      <c r="N4" s="16" t="inlineStr">
        <is>
          <t>W12</t>
        </is>
      </c>
      <c r="O4" s="16" t="inlineStr">
        <is>
          <t>W13</t>
        </is>
      </c>
      <c r="P4" s="16" t="inlineStr">
        <is>
          <t>13-WK TOTAL</t>
        </is>
      </c>
    </row>
    <row r="5">
      <c r="A5" s="2" t="inlineStr">
        <is>
          <t>OPENING CASH</t>
        </is>
      </c>
      <c r="B5" s="3" t="inlineStr">
        <is>
          <t>UGX</t>
        </is>
      </c>
      <c r="C5" s="18">
        <f>ASSUMPTIONS!$C$46</f>
        <v/>
      </c>
      <c r="D5" s="18">
        <f>C25</f>
        <v/>
      </c>
      <c r="E5" s="18">
        <f>D25</f>
        <v/>
      </c>
      <c r="F5" s="18">
        <f>E25</f>
        <v/>
      </c>
      <c r="G5" s="18">
        <f>F25</f>
        <v/>
      </c>
      <c r="H5" s="18">
        <f>G25</f>
        <v/>
      </c>
      <c r="I5" s="18">
        <f>H25</f>
        <v/>
      </c>
      <c r="J5" s="18">
        <f>I25</f>
        <v/>
      </c>
      <c r="K5" s="18">
        <f>J25</f>
        <v/>
      </c>
      <c r="L5" s="18">
        <f>K25</f>
        <v/>
      </c>
      <c r="M5" s="18">
        <f>L25</f>
        <v/>
      </c>
      <c r="N5" s="18">
        <f>M25</f>
        <v/>
      </c>
      <c r="O5" s="18">
        <f>N25</f>
        <v/>
      </c>
    </row>
    <row r="6">
      <c r="A6" s="4" t="inlineStr">
        <is>
          <t>RECEIPTS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t="inlineStr">
        <is>
          <t>Cash sales — refill and single-use</t>
        </is>
      </c>
      <c r="B7" s="3" t="inlineStr">
        <is>
          <t>UGX</t>
        </is>
      </c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18">
        <f>SUM(C7:O7)</f>
        <v/>
      </c>
    </row>
    <row r="8">
      <c r="A8" t="inlineStr">
        <is>
          <t>Jar deposits received</t>
        </is>
      </c>
      <c r="B8" s="3" t="inlineStr">
        <is>
          <t>UGX</t>
        </is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18">
        <f>SUM(C8:O8)</f>
        <v/>
      </c>
    </row>
    <row r="9">
      <c r="A9" t="inlineStr">
        <is>
          <t>Input VAT refunds from URA</t>
        </is>
      </c>
      <c r="B9" s="3" t="inlineStr">
        <is>
          <t>UGX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18">
        <f>SUM(C9:O9)</f>
        <v/>
      </c>
    </row>
    <row r="10">
      <c r="A10" t="inlineStr">
        <is>
          <t>Other receipts / financing drawdown</t>
        </is>
      </c>
      <c r="B10" s="3" t="inlineStr">
        <is>
          <t>UGX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18">
        <f>SUM(C10:O10)</f>
        <v/>
      </c>
    </row>
    <row r="11">
      <c r="A11" s="2" t="inlineStr">
        <is>
          <t>TOTAL RECEIPTS</t>
        </is>
      </c>
      <c r="B11" s="3" t="inlineStr">
        <is>
          <t>UGX</t>
        </is>
      </c>
      <c r="C11" s="18">
        <f>SUM(C7:C10)</f>
        <v/>
      </c>
      <c r="D11" s="18">
        <f>SUM(D7:D10)</f>
        <v/>
      </c>
      <c r="E11" s="18">
        <f>SUM(E7:E10)</f>
        <v/>
      </c>
      <c r="F11" s="18">
        <f>SUM(F7:F10)</f>
        <v/>
      </c>
      <c r="G11" s="18">
        <f>SUM(G7:G10)</f>
        <v/>
      </c>
      <c r="H11" s="18">
        <f>SUM(H7:H10)</f>
        <v/>
      </c>
      <c r="I11" s="18">
        <f>SUM(I7:I10)</f>
        <v/>
      </c>
      <c r="J11" s="18">
        <f>SUM(J7:J10)</f>
        <v/>
      </c>
      <c r="K11" s="18">
        <f>SUM(K7:K10)</f>
        <v/>
      </c>
      <c r="L11" s="18">
        <f>SUM(L7:L10)</f>
        <v/>
      </c>
      <c r="M11" s="18">
        <f>SUM(M7:M10)</f>
        <v/>
      </c>
      <c r="N11" s="18">
        <f>SUM(N7:N10)</f>
        <v/>
      </c>
      <c r="O11" s="18">
        <f>SUM(O7:O10)</f>
        <v/>
      </c>
      <c r="P11" s="18">
        <f>SUM(C11:O11)</f>
        <v/>
      </c>
    </row>
    <row r="12">
      <c r="A12" s="4" t="inlineStr">
        <is>
          <t>PAYMENTS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t="inlineStr">
        <is>
          <t>Raw materials and packaging</t>
        </is>
      </c>
      <c r="B13" s="3" t="inlineStr">
        <is>
          <t>UGX</t>
        </is>
      </c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18">
        <f>SUM(C13:O13)</f>
        <v/>
      </c>
    </row>
    <row r="14">
      <c r="A14" t="inlineStr">
        <is>
          <t>Jar purchases</t>
        </is>
      </c>
      <c r="B14" s="3" t="inlineStr">
        <is>
          <t>UGX</t>
        </is>
      </c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18">
        <f>SUM(C14:O14)</f>
        <v/>
      </c>
    </row>
    <row r="15">
      <c r="A15" t="inlineStr">
        <is>
          <t>Salaries, wages, PAYE and NSSF</t>
        </is>
      </c>
      <c r="B15" s="3" t="inlineStr">
        <is>
          <t>UGX</t>
        </is>
      </c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18">
        <f>SUM(C15:O15)</f>
        <v/>
      </c>
    </row>
    <row r="16">
      <c r="A16" t="inlineStr">
        <is>
          <t>Fixed operating costs</t>
        </is>
      </c>
      <c r="B16" s="3" t="inlineStr">
        <is>
          <t>UGX</t>
        </is>
      </c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18">
        <f>SUM(C16:O16)</f>
        <v/>
      </c>
    </row>
    <row r="17">
      <c r="A17" t="inlineStr">
        <is>
          <t>Transaction fees</t>
        </is>
      </c>
      <c r="B17" s="3" t="inlineStr">
        <is>
          <t>UGX</t>
        </is>
      </c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18">
        <f>SUM(C17:O17)</f>
        <v/>
      </c>
    </row>
    <row r="18">
      <c r="A18" t="inlineStr">
        <is>
          <t>URA — VAT and excise</t>
        </is>
      </c>
      <c r="B18" s="3" t="inlineStr">
        <is>
          <t>UGX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18">
        <f>SUM(C18:O18)</f>
        <v/>
      </c>
    </row>
    <row r="19">
      <c r="A19" t="inlineStr">
        <is>
          <t>URA — corporate tax</t>
        </is>
      </c>
      <c r="B19" s="3" t="inlineStr">
        <is>
          <t>UGX</t>
        </is>
      </c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18">
        <f>SUM(C19:O19)</f>
        <v/>
      </c>
    </row>
    <row r="20">
      <c r="A20" t="inlineStr">
        <is>
          <t>Jar deposit REFUNDS</t>
        </is>
      </c>
      <c r="B20" s="3" t="inlineStr">
        <is>
          <t>UGX</t>
        </is>
      </c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18">
        <f>SUM(C20:O20)</f>
        <v/>
      </c>
    </row>
    <row r="21">
      <c r="A21" t="inlineStr">
        <is>
          <t>Capex and other</t>
        </is>
      </c>
      <c r="B21" s="3" t="inlineStr">
        <is>
          <t>UGX</t>
        </is>
      </c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18">
        <f>SUM(C21:O21)</f>
        <v/>
      </c>
    </row>
    <row r="22">
      <c r="A22" s="2" t="inlineStr">
        <is>
          <t>TOTAL PAYMENTS</t>
        </is>
      </c>
      <c r="B22" s="3" t="inlineStr">
        <is>
          <t>UGX</t>
        </is>
      </c>
      <c r="C22" s="18">
        <f>SUM(C13:C21)</f>
        <v/>
      </c>
      <c r="D22" s="18">
        <f>SUM(D13:D21)</f>
        <v/>
      </c>
      <c r="E22" s="18">
        <f>SUM(E13:E21)</f>
        <v/>
      </c>
      <c r="F22" s="18">
        <f>SUM(F13:F21)</f>
        <v/>
      </c>
      <c r="G22" s="18">
        <f>SUM(G13:G21)</f>
        <v/>
      </c>
      <c r="H22" s="18">
        <f>SUM(H13:H21)</f>
        <v/>
      </c>
      <c r="I22" s="18">
        <f>SUM(I13:I21)</f>
        <v/>
      </c>
      <c r="J22" s="18">
        <f>SUM(J13:J21)</f>
        <v/>
      </c>
      <c r="K22" s="18">
        <f>SUM(K13:K21)</f>
        <v/>
      </c>
      <c r="L22" s="18">
        <f>SUM(L13:L21)</f>
        <v/>
      </c>
      <c r="M22" s="18">
        <f>SUM(M13:M21)</f>
        <v/>
      </c>
      <c r="N22" s="18">
        <f>SUM(N13:N21)</f>
        <v/>
      </c>
      <c r="O22" s="18">
        <f>SUM(O13:O21)</f>
        <v/>
      </c>
      <c r="P22" s="18">
        <f>SUM(C22:O22)</f>
        <v/>
      </c>
    </row>
    <row r="24">
      <c r="A24" s="2" t="inlineStr">
        <is>
          <t>NET MOVEMENT</t>
        </is>
      </c>
      <c r="B24" s="3" t="inlineStr">
        <is>
          <t>UGX</t>
        </is>
      </c>
      <c r="C24" s="18">
        <f>C11-C22</f>
        <v/>
      </c>
      <c r="D24" s="18">
        <f>D11-D22</f>
        <v/>
      </c>
      <c r="E24" s="18">
        <f>E11-E22</f>
        <v/>
      </c>
      <c r="F24" s="18">
        <f>F11-F22</f>
        <v/>
      </c>
      <c r="G24" s="18">
        <f>G11-G22</f>
        <v/>
      </c>
      <c r="H24" s="18">
        <f>H11-H22</f>
        <v/>
      </c>
      <c r="I24" s="18">
        <f>I11-I22</f>
        <v/>
      </c>
      <c r="J24" s="18">
        <f>J11-J22</f>
        <v/>
      </c>
      <c r="K24" s="18">
        <f>K11-K22</f>
        <v/>
      </c>
      <c r="L24" s="18">
        <f>L11-L22</f>
        <v/>
      </c>
      <c r="M24" s="18">
        <f>M11-M22</f>
        <v/>
      </c>
      <c r="N24" s="18">
        <f>N11-N22</f>
        <v/>
      </c>
      <c r="O24" s="18">
        <f>O11-O22</f>
        <v/>
      </c>
      <c r="P24" s="18">
        <f>SUM(C24:O24)</f>
        <v/>
      </c>
    </row>
    <row r="25">
      <c r="A25" s="2" t="inlineStr">
        <is>
          <t>CLOSING CASH</t>
        </is>
      </c>
      <c r="B25" s="3" t="inlineStr">
        <is>
          <t>UGX</t>
        </is>
      </c>
      <c r="C25" s="19">
        <f>C5+C24</f>
        <v/>
      </c>
      <c r="D25" s="19">
        <f>D5+D24</f>
        <v/>
      </c>
      <c r="E25" s="19">
        <f>E5+E24</f>
        <v/>
      </c>
      <c r="F25" s="19">
        <f>F5+F24</f>
        <v/>
      </c>
      <c r="G25" s="19">
        <f>G5+G24</f>
        <v/>
      </c>
      <c r="H25" s="19">
        <f>H5+H24</f>
        <v/>
      </c>
      <c r="I25" s="19">
        <f>I5+I24</f>
        <v/>
      </c>
      <c r="J25" s="19">
        <f>J5+J24</f>
        <v/>
      </c>
      <c r="K25" s="19">
        <f>K5+K24</f>
        <v/>
      </c>
      <c r="L25" s="19">
        <f>L5+L24</f>
        <v/>
      </c>
      <c r="M25" s="19">
        <f>M5+M24</f>
        <v/>
      </c>
      <c r="N25" s="19">
        <f>N5+N24</f>
        <v/>
      </c>
      <c r="O25" s="19">
        <f>O5+O24</f>
        <v/>
      </c>
    </row>
    <row r="26">
      <c r="A26" t="inlineStr">
        <is>
          <t>Minimum cash floor (policy)</t>
        </is>
      </c>
      <c r="B26" s="3" t="inlineStr">
        <is>
          <t>UGX</t>
        </is>
      </c>
      <c r="C26" s="15">
        <f>ASSUMPTIONS!$C$48</f>
        <v/>
      </c>
      <c r="D26" s="15">
        <f>ASSUMPTIONS!$C$48</f>
        <v/>
      </c>
      <c r="E26" s="15">
        <f>ASSUMPTIONS!$C$48</f>
        <v/>
      </c>
      <c r="F26" s="15">
        <f>ASSUMPTIONS!$C$48</f>
        <v/>
      </c>
      <c r="G26" s="15">
        <f>ASSUMPTIONS!$C$48</f>
        <v/>
      </c>
      <c r="H26" s="15">
        <f>ASSUMPTIONS!$C$48</f>
        <v/>
      </c>
      <c r="I26" s="15">
        <f>ASSUMPTIONS!$C$48</f>
        <v/>
      </c>
      <c r="J26" s="15">
        <f>ASSUMPTIONS!$C$48</f>
        <v/>
      </c>
      <c r="K26" s="15">
        <f>ASSUMPTIONS!$C$48</f>
        <v/>
      </c>
      <c r="L26" s="15">
        <f>ASSUMPTIONS!$C$48</f>
        <v/>
      </c>
      <c r="M26" s="15">
        <f>ASSUMPTIONS!$C$48</f>
        <v/>
      </c>
      <c r="N26" s="15">
        <f>ASSUMPTIONS!$C$48</f>
        <v/>
      </c>
      <c r="O26" s="15">
        <f>ASSUMPTIONS!$C$48</f>
        <v/>
      </c>
    </row>
    <row r="27">
      <c r="A27" s="2" t="inlineStr">
        <is>
          <t>HEADROOM</t>
        </is>
      </c>
      <c r="B27" s="3" t="inlineStr">
        <is>
          <t>UGX</t>
        </is>
      </c>
      <c r="C27" s="18">
        <f>C25-C26</f>
        <v/>
      </c>
      <c r="D27" s="18">
        <f>D25-D26</f>
        <v/>
      </c>
      <c r="E27" s="18">
        <f>E25-E26</f>
        <v/>
      </c>
      <c r="F27" s="18">
        <f>F25-F26</f>
        <v/>
      </c>
      <c r="G27" s="18">
        <f>G25-G26</f>
        <v/>
      </c>
      <c r="H27" s="18">
        <f>H25-H26</f>
        <v/>
      </c>
      <c r="I27" s="18">
        <f>I25-I26</f>
        <v/>
      </c>
      <c r="J27" s="18">
        <f>J25-J26</f>
        <v/>
      </c>
      <c r="K27" s="18">
        <f>K25-K26</f>
        <v/>
      </c>
      <c r="L27" s="18">
        <f>L25-L26</f>
        <v/>
      </c>
      <c r="M27" s="18">
        <f>M25-M26</f>
        <v/>
      </c>
      <c r="N27" s="18">
        <f>N25-N26</f>
        <v/>
      </c>
      <c r="O27" s="18">
        <f>O25-O26</f>
        <v/>
      </c>
    </row>
    <row r="28">
      <c r="A28" s="2" t="inlineStr">
        <is>
          <t>ALARM</t>
        </is>
      </c>
      <c r="B28" s="3" t="inlineStr"/>
      <c r="C28" s="23">
        <f>IF(C25&lt;C26,"BREACH","ok")</f>
        <v/>
      </c>
      <c r="D28" s="23">
        <f>IF(D25&lt;D26,"BREACH","ok")</f>
        <v/>
      </c>
      <c r="E28" s="23">
        <f>IF(E25&lt;E26,"BREACH","ok")</f>
        <v/>
      </c>
      <c r="F28" s="23">
        <f>IF(F25&lt;F26,"BREACH","ok")</f>
        <v/>
      </c>
      <c r="G28" s="23">
        <f>IF(G25&lt;G26,"BREACH","ok")</f>
        <v/>
      </c>
      <c r="H28" s="23">
        <f>IF(H25&lt;H26,"BREACH","ok")</f>
        <v/>
      </c>
      <c r="I28" s="23">
        <f>IF(I25&lt;I26,"BREACH","ok")</f>
        <v/>
      </c>
      <c r="J28" s="23">
        <f>IF(J25&lt;J26,"BREACH","ok")</f>
        <v/>
      </c>
      <c r="K28" s="23">
        <f>IF(K25&lt;K26,"BREACH","ok")</f>
        <v/>
      </c>
      <c r="L28" s="23">
        <f>IF(L25&lt;L26,"BREACH","ok")</f>
        <v/>
      </c>
      <c r="M28" s="23">
        <f>IF(M25&lt;M26,"BREACH","ok")</f>
        <v/>
      </c>
      <c r="N28" s="23">
        <f>IF(N25&lt;N26,"BREACH","ok")</f>
        <v/>
      </c>
      <c r="O28" s="23">
        <f>IF(O25&lt;O26,"BREACH","ok")</f>
        <v/>
      </c>
    </row>
    <row r="30">
      <c r="A30" s="3" t="inlineStr">
        <is>
          <t>Seeds are months 1-3 of the plan divided evenly across 13 weeks. They are a STARTING POINT, not a forecast.</t>
        </is>
      </c>
    </row>
    <row r="31">
      <c r="A31" s="3" t="inlineStr">
        <is>
          <t>THE STANDING RULE: every Monday morning, before anything else, roll this forward one week and type what you actually expect to receive and pay. Then read the ALARM row.</t>
        </is>
      </c>
    </row>
    <row r="32">
      <c r="A32" s="3" t="inlineStr">
        <is>
          <t>Renew's own Accounting and Finance Team Checklist puts this on the Finance Manager as a WEEKLY duty: 'Prepare a weekly cash collection and disbursement plan and share with all finance staff (13 weeks cash flow)'.</t>
        </is>
      </c>
    </row>
    <row r="33">
      <c r="A33" s="3" t="inlineStr">
        <is>
          <t>Jar deposits received are NOT revenue. They are in here because they are cash, and cash is what this tab is about.</t>
        </is>
      </c>
    </row>
    <row r="34">
      <c r="A34" s="3" t="inlineStr">
        <is>
          <t>Jar deposit REFUNDS is a row on purpose. It is currently zero and it will not stay zero.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46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ROLLING 13-MONTH CASH FLOW FORECAST</t>
        </is>
      </c>
    </row>
    <row r="2">
      <c r="A2" s="3" t="inlineStr">
        <is>
          <t>Direct method, in Renew Capital's Session 5 shape. The 13-week tab answers TIMING. This tab answers PACE — can we afford the hiring step and the expansion?</t>
        </is>
      </c>
    </row>
    <row r="4">
      <c r="A4" s="2" t="inlineStr">
        <is>
          <t>Month</t>
        </is>
      </c>
      <c r="C4" s="16" t="inlineStr">
        <is>
          <t>M1</t>
        </is>
      </c>
      <c r="D4" s="16" t="inlineStr">
        <is>
          <t>M2</t>
        </is>
      </c>
      <c r="E4" s="16" t="inlineStr">
        <is>
          <t>M3</t>
        </is>
      </c>
      <c r="F4" s="16" t="inlineStr">
        <is>
          <t>M4</t>
        </is>
      </c>
      <c r="G4" s="16" t="inlineStr">
        <is>
          <t>M5</t>
        </is>
      </c>
      <c r="H4" s="16" t="inlineStr">
        <is>
          <t>M6</t>
        </is>
      </c>
      <c r="I4" s="16" t="inlineStr">
        <is>
          <t>M7</t>
        </is>
      </c>
      <c r="J4" s="16" t="inlineStr">
        <is>
          <t>M8</t>
        </is>
      </c>
      <c r="K4" s="16" t="inlineStr">
        <is>
          <t>M9</t>
        </is>
      </c>
      <c r="L4" s="16" t="inlineStr">
        <is>
          <t>M10</t>
        </is>
      </c>
      <c r="M4" s="16" t="inlineStr">
        <is>
          <t>M11</t>
        </is>
      </c>
      <c r="N4" s="16" t="inlineStr">
        <is>
          <t>M12</t>
        </is>
      </c>
      <c r="O4" s="16" t="inlineStr">
        <is>
          <t>M13</t>
        </is>
      </c>
    </row>
    <row r="5">
      <c r="A5" s="2" t="inlineStr">
        <is>
          <t>OPENING BALANCE</t>
        </is>
      </c>
      <c r="C5" s="18">
        <f>ASSUMPTIONS!$C$46</f>
        <v/>
      </c>
      <c r="D5" s="18">
        <f>C23</f>
        <v/>
      </c>
      <c r="E5" s="18">
        <f>D23</f>
        <v/>
      </c>
      <c r="F5" s="18">
        <f>E23</f>
        <v/>
      </c>
      <c r="G5" s="18">
        <f>F23</f>
        <v/>
      </c>
      <c r="H5" s="18">
        <f>G23</f>
        <v/>
      </c>
      <c r="I5" s="18">
        <f>H23</f>
        <v/>
      </c>
      <c r="J5" s="18">
        <f>I23</f>
        <v/>
      </c>
      <c r="K5" s="18">
        <f>J23</f>
        <v/>
      </c>
      <c r="L5" s="18">
        <f>K23</f>
        <v/>
      </c>
      <c r="M5" s="18">
        <f>L23</f>
        <v/>
      </c>
      <c r="N5" s="18">
        <f>M23</f>
        <v/>
      </c>
      <c r="O5" s="18">
        <f>N23</f>
        <v/>
      </c>
    </row>
    <row r="6">
      <c r="A6" s="2" t="inlineStr">
        <is>
          <t>Cash In</t>
        </is>
      </c>
    </row>
    <row r="7">
      <c r="A7" t="inlineStr">
        <is>
          <t xml:space="preserve">   Cash sales — refill and single-use (VAT-inclusive)</t>
        </is>
      </c>
      <c r="C7" s="15">
        <f>ASSUMPTIONS!C11*ASSUMPTIONS!C15*(1+ASSUMPTIONS!C17)</f>
        <v/>
      </c>
      <c r="D7" s="15">
        <f>ASSUMPTIONS!D11*ASSUMPTIONS!D15*(1+ASSUMPTIONS!D17)</f>
        <v/>
      </c>
      <c r="E7" s="15">
        <f>ASSUMPTIONS!E11*ASSUMPTIONS!E15*(1+ASSUMPTIONS!E17)</f>
        <v/>
      </c>
      <c r="F7" s="15">
        <f>ASSUMPTIONS!F11*ASSUMPTIONS!F15*(1+ASSUMPTIONS!F17)</f>
        <v/>
      </c>
      <c r="G7" s="15">
        <f>ASSUMPTIONS!G11*ASSUMPTIONS!G15*(1+ASSUMPTIONS!G17)</f>
        <v/>
      </c>
      <c r="H7" s="15">
        <f>ASSUMPTIONS!H11*ASSUMPTIONS!H15*(1+ASSUMPTIONS!H17)</f>
        <v/>
      </c>
      <c r="I7" s="15">
        <f>ASSUMPTIONS!I11*ASSUMPTIONS!I15*(1+ASSUMPTIONS!I17)</f>
        <v/>
      </c>
      <c r="J7" s="15">
        <f>ASSUMPTIONS!J11*ASSUMPTIONS!J15*(1+ASSUMPTIONS!J17)</f>
        <v/>
      </c>
      <c r="K7" s="15">
        <f>ASSUMPTIONS!K11*ASSUMPTIONS!K15*(1+ASSUMPTIONS!K17)</f>
        <v/>
      </c>
      <c r="L7" s="15">
        <f>ASSUMPTIONS!L11*ASSUMPTIONS!L15*(1+ASSUMPTIONS!L17)</f>
        <v/>
      </c>
      <c r="M7" s="15">
        <f>ASSUMPTIONS!M11*ASSUMPTIONS!M15*(1+ASSUMPTIONS!M17)</f>
        <v/>
      </c>
      <c r="N7" s="15">
        <f>ASSUMPTIONS!N11*ASSUMPTIONS!N15*(1+ASSUMPTIONS!N17)</f>
        <v/>
      </c>
      <c r="O7" s="15">
        <f>ASSUMPTIONS!N11*ASSUMPTIONS!N15*(1+ASSUMPTIONS!N17)</f>
        <v/>
      </c>
    </row>
    <row r="8">
      <c r="A8" t="inlineStr">
        <is>
          <t xml:space="preserve">   Jar deposits received</t>
        </is>
      </c>
      <c r="C8" s="15">
        <f>ASSUMPTIONS!C21*ASSUMPTIONS!C23</f>
        <v/>
      </c>
      <c r="D8" s="15">
        <f>ASSUMPTIONS!D21*ASSUMPTIONS!D23</f>
        <v/>
      </c>
      <c r="E8" s="15">
        <f>ASSUMPTIONS!E21*ASSUMPTIONS!E23</f>
        <v/>
      </c>
      <c r="F8" s="15">
        <f>ASSUMPTIONS!F21*ASSUMPTIONS!F23</f>
        <v/>
      </c>
      <c r="G8" s="15">
        <f>ASSUMPTIONS!G21*ASSUMPTIONS!G23</f>
        <v/>
      </c>
      <c r="H8" s="15">
        <f>ASSUMPTIONS!H21*ASSUMPTIONS!H23</f>
        <v/>
      </c>
      <c r="I8" s="15">
        <f>ASSUMPTIONS!I21*ASSUMPTIONS!I23</f>
        <v/>
      </c>
      <c r="J8" s="15">
        <f>ASSUMPTIONS!J21*ASSUMPTIONS!J23</f>
        <v/>
      </c>
      <c r="K8" s="15">
        <f>ASSUMPTIONS!K21*ASSUMPTIONS!K23</f>
        <v/>
      </c>
      <c r="L8" s="15">
        <f>ASSUMPTIONS!L21*ASSUMPTIONS!L23</f>
        <v/>
      </c>
      <c r="M8" s="15">
        <f>ASSUMPTIONS!M21*ASSUMPTIONS!M23</f>
        <v/>
      </c>
      <c r="N8" s="15">
        <f>ASSUMPTIONS!N21*ASSUMPTIONS!N23</f>
        <v/>
      </c>
      <c r="O8" s="15">
        <f>ASSUMPTIONS!N21*ASSUMPTIONS!N23</f>
        <v/>
      </c>
    </row>
    <row r="9">
      <c r="A9" t="inlineStr">
        <is>
          <t xml:space="preserve">   Financing / other cash in</t>
        </is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</row>
    <row r="10">
      <c r="A10" s="2" t="inlineStr">
        <is>
          <t>Total Cash In</t>
        </is>
      </c>
      <c r="C10" s="18">
        <f>SUM(C7:C9)</f>
        <v/>
      </c>
      <c r="D10" s="18">
        <f>SUM(D7:D9)</f>
        <v/>
      </c>
      <c r="E10" s="18">
        <f>SUM(E7:E9)</f>
        <v/>
      </c>
      <c r="F10" s="18">
        <f>SUM(F7:F9)</f>
        <v/>
      </c>
      <c r="G10" s="18">
        <f>SUM(G7:G9)</f>
        <v/>
      </c>
      <c r="H10" s="18">
        <f>SUM(H7:H9)</f>
        <v/>
      </c>
      <c r="I10" s="18">
        <f>SUM(I7:I9)</f>
        <v/>
      </c>
      <c r="J10" s="18">
        <f>SUM(J7:J9)</f>
        <v/>
      </c>
      <c r="K10" s="18">
        <f>SUM(K7:K9)</f>
        <v/>
      </c>
      <c r="L10" s="18">
        <f>SUM(L7:L9)</f>
        <v/>
      </c>
      <c r="M10" s="18">
        <f>SUM(M7:M9)</f>
        <v/>
      </c>
      <c r="N10" s="18">
        <f>SUM(N7:N9)</f>
        <v/>
      </c>
      <c r="O10" s="18">
        <f>SUM(O7:O9)</f>
        <v/>
      </c>
    </row>
    <row r="11">
      <c r="A11" s="2" t="inlineStr">
        <is>
          <t>Cash Out</t>
        </is>
      </c>
    </row>
    <row r="12">
      <c r="A12" t="inlineStr">
        <is>
          <t xml:space="preserve">   Raw materials and packaging</t>
        </is>
      </c>
      <c r="C12" s="15">
        <f>ASSUMPTIONS!C11*ASSUMPTIONS!C16</f>
        <v/>
      </c>
      <c r="D12" s="15">
        <f>ASSUMPTIONS!D11*ASSUMPTIONS!D16</f>
        <v/>
      </c>
      <c r="E12" s="15">
        <f>ASSUMPTIONS!E11*ASSUMPTIONS!E16</f>
        <v/>
      </c>
      <c r="F12" s="15">
        <f>ASSUMPTIONS!F11*ASSUMPTIONS!F16</f>
        <v/>
      </c>
      <c r="G12" s="15">
        <f>ASSUMPTIONS!G11*ASSUMPTIONS!G16</f>
        <v/>
      </c>
      <c r="H12" s="15">
        <f>ASSUMPTIONS!H11*ASSUMPTIONS!H16</f>
        <v/>
      </c>
      <c r="I12" s="15">
        <f>ASSUMPTIONS!I11*ASSUMPTIONS!I16</f>
        <v/>
      </c>
      <c r="J12" s="15">
        <f>ASSUMPTIONS!J11*ASSUMPTIONS!J16</f>
        <v/>
      </c>
      <c r="K12" s="15">
        <f>ASSUMPTIONS!K11*ASSUMPTIONS!K16</f>
        <v/>
      </c>
      <c r="L12" s="15">
        <f>ASSUMPTIONS!L11*ASSUMPTIONS!L16</f>
        <v/>
      </c>
      <c r="M12" s="15">
        <f>ASSUMPTIONS!M11*ASSUMPTIONS!M16</f>
        <v/>
      </c>
      <c r="N12" s="15">
        <f>ASSUMPTIONS!N11*ASSUMPTIONS!N16</f>
        <v/>
      </c>
      <c r="O12" s="15">
        <f>ASSUMPTIONS!N11*ASSUMPTIONS!N16</f>
        <v/>
      </c>
    </row>
    <row r="13">
      <c r="A13" t="inlineStr">
        <is>
          <t xml:space="preserve">   Jar purchases</t>
        </is>
      </c>
      <c r="C13" s="15">
        <f>ASSUMPTIONS!C21*ASSUMPTIONS!C22</f>
        <v/>
      </c>
      <c r="D13" s="15">
        <f>ASSUMPTIONS!D21*ASSUMPTIONS!D22</f>
        <v/>
      </c>
      <c r="E13" s="15">
        <f>ASSUMPTIONS!E21*ASSUMPTIONS!E22</f>
        <v/>
      </c>
      <c r="F13" s="15">
        <f>ASSUMPTIONS!F21*ASSUMPTIONS!F22</f>
        <v/>
      </c>
      <c r="G13" s="15">
        <f>ASSUMPTIONS!G21*ASSUMPTIONS!G22</f>
        <v/>
      </c>
      <c r="H13" s="15">
        <f>ASSUMPTIONS!H21*ASSUMPTIONS!H22</f>
        <v/>
      </c>
      <c r="I13" s="15">
        <f>ASSUMPTIONS!I21*ASSUMPTIONS!I22</f>
        <v/>
      </c>
      <c r="J13" s="15">
        <f>ASSUMPTIONS!J21*ASSUMPTIONS!J22</f>
        <v/>
      </c>
      <c r="K13" s="15">
        <f>ASSUMPTIONS!K21*ASSUMPTIONS!K22</f>
        <v/>
      </c>
      <c r="L13" s="15">
        <f>ASSUMPTIONS!L21*ASSUMPTIONS!L22</f>
        <v/>
      </c>
      <c r="M13" s="15">
        <f>ASSUMPTIONS!M21*ASSUMPTIONS!M22</f>
        <v/>
      </c>
      <c r="N13" s="15">
        <f>ASSUMPTIONS!N21*ASSUMPTIONS!N22</f>
        <v/>
      </c>
      <c r="O13" s="15">
        <f>ASSUMPTIONS!N21*ASSUMPTIONS!N22</f>
        <v/>
      </c>
    </row>
    <row r="14">
      <c r="A14" t="inlineStr">
        <is>
          <t xml:space="preserve">   Payroll</t>
        </is>
      </c>
      <c r="C14" s="15">
        <f>ASSUMPTIONS!C32</f>
        <v/>
      </c>
      <c r="D14" s="15">
        <f>ASSUMPTIONS!D32</f>
        <v/>
      </c>
      <c r="E14" s="15">
        <f>ASSUMPTIONS!E32</f>
        <v/>
      </c>
      <c r="F14" s="15">
        <f>ASSUMPTIONS!F32</f>
        <v/>
      </c>
      <c r="G14" s="15">
        <f>ASSUMPTIONS!G32</f>
        <v/>
      </c>
      <c r="H14" s="15">
        <f>ASSUMPTIONS!H32</f>
        <v/>
      </c>
      <c r="I14" s="15">
        <f>ASSUMPTIONS!I32</f>
        <v/>
      </c>
      <c r="J14" s="15">
        <f>ASSUMPTIONS!J32</f>
        <v/>
      </c>
      <c r="K14" s="15">
        <f>ASSUMPTIONS!K32</f>
        <v/>
      </c>
      <c r="L14" s="15">
        <f>ASSUMPTIONS!L32</f>
        <v/>
      </c>
      <c r="M14" s="15">
        <f>ASSUMPTIONS!M32</f>
        <v/>
      </c>
      <c r="N14" s="15">
        <f>ASSUMPTIONS!N32</f>
        <v/>
      </c>
      <c r="O14" s="15">
        <f>ASSUMPTIONS!N32</f>
        <v/>
      </c>
    </row>
    <row r="15">
      <c r="A15" t="inlineStr">
        <is>
          <t xml:space="preserve">   Fixed operating costs</t>
        </is>
      </c>
      <c r="C15" s="15">
        <f>ASSUMPTIONS!C28</f>
        <v/>
      </c>
      <c r="D15" s="15">
        <f>ASSUMPTIONS!D28</f>
        <v/>
      </c>
      <c r="E15" s="15">
        <f>ASSUMPTIONS!E28</f>
        <v/>
      </c>
      <c r="F15" s="15">
        <f>ASSUMPTIONS!F28</f>
        <v/>
      </c>
      <c r="G15" s="15">
        <f>ASSUMPTIONS!G28</f>
        <v/>
      </c>
      <c r="H15" s="15">
        <f>ASSUMPTIONS!H28</f>
        <v/>
      </c>
      <c r="I15" s="15">
        <f>ASSUMPTIONS!I28</f>
        <v/>
      </c>
      <c r="J15" s="15">
        <f>ASSUMPTIONS!J28</f>
        <v/>
      </c>
      <c r="K15" s="15">
        <f>ASSUMPTIONS!K28</f>
        <v/>
      </c>
      <c r="L15" s="15">
        <f>ASSUMPTIONS!L28</f>
        <v/>
      </c>
      <c r="M15" s="15">
        <f>ASSUMPTIONS!M28</f>
        <v/>
      </c>
      <c r="N15" s="15">
        <f>ASSUMPTIONS!N28</f>
        <v/>
      </c>
      <c r="O15" s="15">
        <f>ASSUMPTIONS!N28</f>
        <v/>
      </c>
    </row>
    <row r="16">
      <c r="A16" t="inlineStr">
        <is>
          <t xml:space="preserve">   Transaction fees</t>
        </is>
      </c>
      <c r="C16" s="15">
        <f>C7*ASSUMPTIONS!C33</f>
        <v/>
      </c>
      <c r="D16" s="15">
        <f>D7*ASSUMPTIONS!D33</f>
        <v/>
      </c>
      <c r="E16" s="15">
        <f>E7*ASSUMPTIONS!E33</f>
        <v/>
      </c>
      <c r="F16" s="15">
        <f>F7*ASSUMPTIONS!F33</f>
        <v/>
      </c>
      <c r="G16" s="15">
        <f>G7*ASSUMPTIONS!G33</f>
        <v/>
      </c>
      <c r="H16" s="15">
        <f>H7*ASSUMPTIONS!H33</f>
        <v/>
      </c>
      <c r="I16" s="15">
        <f>I7*ASSUMPTIONS!I33</f>
        <v/>
      </c>
      <c r="J16" s="15">
        <f>J7*ASSUMPTIONS!J33</f>
        <v/>
      </c>
      <c r="K16" s="15">
        <f>K7*ASSUMPTIONS!K33</f>
        <v/>
      </c>
      <c r="L16" s="15">
        <f>L7*ASSUMPTIONS!L33</f>
        <v/>
      </c>
      <c r="M16" s="15">
        <f>M7*ASSUMPTIONS!M33</f>
        <v/>
      </c>
      <c r="N16" s="15">
        <f>N7*ASSUMPTIONS!N33</f>
        <v/>
      </c>
      <c r="O16" s="15">
        <f>O7*ASSUMPTIONS!N33</f>
        <v/>
      </c>
    </row>
    <row r="17">
      <c r="A17" t="inlineStr">
        <is>
          <t xml:space="preserve">   URA — VAT and excise</t>
        </is>
      </c>
      <c r="C17" s="15">
        <f>ASSUMPTIONS!C11*ASSUMPTIONS!C15*ASSUMPTIONS!C17</f>
        <v/>
      </c>
      <c r="D17" s="15">
        <f>ASSUMPTIONS!D11*ASSUMPTIONS!D15*ASSUMPTIONS!D17</f>
        <v/>
      </c>
      <c r="E17" s="15">
        <f>ASSUMPTIONS!E11*ASSUMPTIONS!E15*ASSUMPTIONS!E17</f>
        <v/>
      </c>
      <c r="F17" s="15">
        <f>ASSUMPTIONS!F11*ASSUMPTIONS!F15*ASSUMPTIONS!F17</f>
        <v/>
      </c>
      <c r="G17" s="15">
        <f>ASSUMPTIONS!G11*ASSUMPTIONS!G15*ASSUMPTIONS!G17</f>
        <v/>
      </c>
      <c r="H17" s="15">
        <f>ASSUMPTIONS!H11*ASSUMPTIONS!H15*ASSUMPTIONS!H17</f>
        <v/>
      </c>
      <c r="I17" s="15">
        <f>ASSUMPTIONS!I11*ASSUMPTIONS!I15*ASSUMPTIONS!I17</f>
        <v/>
      </c>
      <c r="J17" s="15">
        <f>ASSUMPTIONS!J11*ASSUMPTIONS!J15*ASSUMPTIONS!J17</f>
        <v/>
      </c>
      <c r="K17" s="15">
        <f>ASSUMPTIONS!K11*ASSUMPTIONS!K15*ASSUMPTIONS!K17</f>
        <v/>
      </c>
      <c r="L17" s="15">
        <f>ASSUMPTIONS!L11*ASSUMPTIONS!L15*ASSUMPTIONS!L17</f>
        <v/>
      </c>
      <c r="M17" s="15">
        <f>ASSUMPTIONS!M11*ASSUMPTIONS!M15*ASSUMPTIONS!M17</f>
        <v/>
      </c>
      <c r="N17" s="15">
        <f>ASSUMPTIONS!N11*ASSUMPTIONS!N15*ASSUMPTIONS!N17</f>
        <v/>
      </c>
      <c r="O17" s="15">
        <f>ASSUMPTIONS!N11*ASSUMPTIONS!N15*ASSUMPTIONS!N17</f>
        <v/>
      </c>
    </row>
    <row r="18">
      <c r="A18" t="inlineStr">
        <is>
          <t xml:space="preserve">   URA — corporate tax (quarterly)</t>
        </is>
      </c>
      <c r="C18" s="15">
        <f>IF(MOD(1,3)=0,-SUM('P&amp;L'!A18:'P&amp;L'!C18),0)</f>
        <v/>
      </c>
      <c r="D18" s="15">
        <f>IF(MOD(2,3)=0,-SUM('P&amp;L'!B18:'P&amp;L'!D18),0)</f>
        <v/>
      </c>
      <c r="E18" s="15">
        <f>IF(MOD(3,3)=0,-SUM('P&amp;L'!C18:'P&amp;L'!E18),0)</f>
        <v/>
      </c>
      <c r="F18" s="15">
        <f>IF(MOD(4,3)=0,-SUM('P&amp;L'!D18:'P&amp;L'!F18),0)</f>
        <v/>
      </c>
      <c r="G18" s="15">
        <f>IF(MOD(5,3)=0,-SUM('P&amp;L'!E18:'P&amp;L'!G18),0)</f>
        <v/>
      </c>
      <c r="H18" s="15">
        <f>IF(MOD(6,3)=0,-SUM('P&amp;L'!F18:'P&amp;L'!H18),0)</f>
        <v/>
      </c>
      <c r="I18" s="15">
        <f>IF(MOD(7,3)=0,-SUM('P&amp;L'!G18:'P&amp;L'!I18),0)</f>
        <v/>
      </c>
      <c r="J18" s="15">
        <f>IF(MOD(8,3)=0,-SUM('P&amp;L'!H18:'P&amp;L'!J18),0)</f>
        <v/>
      </c>
      <c r="K18" s="15">
        <f>IF(MOD(9,3)=0,-SUM('P&amp;L'!I18:'P&amp;L'!K18),0)</f>
        <v/>
      </c>
      <c r="L18" s="15">
        <f>IF(MOD(10,3)=0,-SUM('P&amp;L'!J18:'P&amp;L'!L18),0)</f>
        <v/>
      </c>
      <c r="M18" s="15">
        <f>IF(MOD(11,3)=0,-SUM('P&amp;L'!K18:'P&amp;L'!M18),0)</f>
        <v/>
      </c>
      <c r="N18" s="15">
        <f>IF(MOD(12,3)=0,-SUM('P&amp;L'!L18:'P&amp;L'!N18),0)</f>
        <v/>
      </c>
      <c r="O18" s="15">
        <f>IF(MOD(13,3)=0,-SUM('P&amp;L'!L18:'P&amp;L'!N18),0)</f>
        <v/>
      </c>
    </row>
    <row r="19">
      <c r="A19" t="inlineStr">
        <is>
          <t xml:space="preserve">   Jar deposit REFUNDS</t>
        </is>
      </c>
      <c r="C19" s="15">
        <f>ASSUMPTIONS!C24*ASSUMPTIONS!C23</f>
        <v/>
      </c>
      <c r="D19" s="15">
        <f>ASSUMPTIONS!D24*ASSUMPTIONS!D23</f>
        <v/>
      </c>
      <c r="E19" s="15">
        <f>ASSUMPTIONS!E24*ASSUMPTIONS!E23</f>
        <v/>
      </c>
      <c r="F19" s="15">
        <f>ASSUMPTIONS!F24*ASSUMPTIONS!F23</f>
        <v/>
      </c>
      <c r="G19" s="15">
        <f>ASSUMPTIONS!G24*ASSUMPTIONS!G23</f>
        <v/>
      </c>
      <c r="H19" s="15">
        <f>ASSUMPTIONS!H24*ASSUMPTIONS!H23</f>
        <v/>
      </c>
      <c r="I19" s="15">
        <f>ASSUMPTIONS!I24*ASSUMPTIONS!I23</f>
        <v/>
      </c>
      <c r="J19" s="15">
        <f>ASSUMPTIONS!J24*ASSUMPTIONS!J23</f>
        <v/>
      </c>
      <c r="K19" s="15">
        <f>ASSUMPTIONS!K24*ASSUMPTIONS!K23</f>
        <v/>
      </c>
      <c r="L19" s="15">
        <f>ASSUMPTIONS!L24*ASSUMPTIONS!L23</f>
        <v/>
      </c>
      <c r="M19" s="15">
        <f>ASSUMPTIONS!M24*ASSUMPTIONS!M23</f>
        <v/>
      </c>
      <c r="N19" s="15">
        <f>ASSUMPTIONS!N24*ASSUMPTIONS!N23</f>
        <v/>
      </c>
      <c r="O19" s="15">
        <f>ASSUMPTIONS!N24*ASSUMPTIONS!N23</f>
        <v/>
      </c>
    </row>
    <row r="20">
      <c r="A20" t="inlineStr">
        <is>
          <t xml:space="preserve">   Capex / one-time spending</t>
        </is>
      </c>
      <c r="C20" s="15">
        <f>ASSUMPTIONS!C51</f>
        <v/>
      </c>
      <c r="D20" s="15">
        <f>ASSUMPTIONS!D51</f>
        <v/>
      </c>
      <c r="E20" s="15">
        <f>ASSUMPTIONS!E51</f>
        <v/>
      </c>
      <c r="F20" s="15">
        <f>ASSUMPTIONS!F51</f>
        <v/>
      </c>
      <c r="G20" s="15">
        <f>ASSUMPTIONS!G51</f>
        <v/>
      </c>
      <c r="H20" s="15">
        <f>ASSUMPTIONS!H51</f>
        <v/>
      </c>
      <c r="I20" s="15">
        <f>ASSUMPTIONS!I51</f>
        <v/>
      </c>
      <c r="J20" s="15">
        <f>ASSUMPTIONS!J51</f>
        <v/>
      </c>
      <c r="K20" s="15">
        <f>ASSUMPTIONS!K51</f>
        <v/>
      </c>
      <c r="L20" s="15">
        <f>ASSUMPTIONS!L51</f>
        <v/>
      </c>
      <c r="M20" s="15">
        <f>ASSUMPTIONS!M51</f>
        <v/>
      </c>
      <c r="N20" s="15">
        <f>ASSUMPTIONS!N51</f>
        <v/>
      </c>
      <c r="O20" s="15">
        <f>ASSUMPTIONS!N51</f>
        <v/>
      </c>
    </row>
    <row r="21">
      <c r="A21" s="2" t="inlineStr">
        <is>
          <t>Total Cash Out</t>
        </is>
      </c>
      <c r="C21" s="18">
        <f>SUM(C12:C20)</f>
        <v/>
      </c>
      <c r="D21" s="18">
        <f>SUM(D12:D20)</f>
        <v/>
      </c>
      <c r="E21" s="18">
        <f>SUM(E12:E20)</f>
        <v/>
      </c>
      <c r="F21" s="18">
        <f>SUM(F12:F20)</f>
        <v/>
      </c>
      <c r="G21" s="18">
        <f>SUM(G12:G20)</f>
        <v/>
      </c>
      <c r="H21" s="18">
        <f>SUM(H12:H20)</f>
        <v/>
      </c>
      <c r="I21" s="18">
        <f>SUM(I12:I20)</f>
        <v/>
      </c>
      <c r="J21" s="18">
        <f>SUM(J12:J20)</f>
        <v/>
      </c>
      <c r="K21" s="18">
        <f>SUM(K12:K20)</f>
        <v/>
      </c>
      <c r="L21" s="18">
        <f>SUM(L12:L20)</f>
        <v/>
      </c>
      <c r="M21" s="18">
        <f>SUM(M12:M20)</f>
        <v/>
      </c>
      <c r="N21" s="18">
        <f>SUM(N12:N20)</f>
        <v/>
      </c>
      <c r="O21" s="18">
        <f>SUM(O12:O20)</f>
        <v/>
      </c>
    </row>
    <row r="22">
      <c r="A22" s="2" t="inlineStr">
        <is>
          <t>Net Cash Flow</t>
        </is>
      </c>
      <c r="C22" s="18">
        <f>C10-C21</f>
        <v/>
      </c>
      <c r="D22" s="18">
        <f>D10-D21</f>
        <v/>
      </c>
      <c r="E22" s="18">
        <f>E10-E21</f>
        <v/>
      </c>
      <c r="F22" s="18">
        <f>F10-F21</f>
        <v/>
      </c>
      <c r="G22" s="18">
        <f>G10-G21</f>
        <v/>
      </c>
      <c r="H22" s="18">
        <f>H10-H21</f>
        <v/>
      </c>
      <c r="I22" s="18">
        <f>I10-I21</f>
        <v/>
      </c>
      <c r="J22" s="18">
        <f>J10-J21</f>
        <v/>
      </c>
      <c r="K22" s="18">
        <f>K10-K21</f>
        <v/>
      </c>
      <c r="L22" s="18">
        <f>L10-L21</f>
        <v/>
      </c>
      <c r="M22" s="18">
        <f>M10-M21</f>
        <v/>
      </c>
      <c r="N22" s="18">
        <f>N10-N21</f>
        <v/>
      </c>
      <c r="O22" s="18">
        <f>O10-O21</f>
        <v/>
      </c>
    </row>
    <row r="23">
      <c r="A23" s="2" t="inlineStr">
        <is>
          <t>CLOSING BALANCE</t>
        </is>
      </c>
      <c r="C23" s="19">
        <f>C5+C22</f>
        <v/>
      </c>
      <c r="D23" s="19">
        <f>D5+D22</f>
        <v/>
      </c>
      <c r="E23" s="19">
        <f>E5+E22</f>
        <v/>
      </c>
      <c r="F23" s="19">
        <f>F5+F22</f>
        <v/>
      </c>
      <c r="G23" s="19">
        <f>G5+G22</f>
        <v/>
      </c>
      <c r="H23" s="19">
        <f>H5+H22</f>
        <v/>
      </c>
      <c r="I23" s="19">
        <f>I5+I22</f>
        <v/>
      </c>
      <c r="J23" s="19">
        <f>J5+J22</f>
        <v/>
      </c>
      <c r="K23" s="19">
        <f>K5+K22</f>
        <v/>
      </c>
      <c r="L23" s="19">
        <f>L5+L22</f>
        <v/>
      </c>
      <c r="M23" s="19">
        <f>M5+M22</f>
        <v/>
      </c>
      <c r="N23" s="19">
        <f>N5+N22</f>
        <v/>
      </c>
      <c r="O23" s="19">
        <f>O5+O22</f>
        <v/>
      </c>
    </row>
    <row r="24">
      <c r="A24" t="inlineStr">
        <is>
          <t>Minimum Cash Threshold</t>
        </is>
      </c>
      <c r="C24" s="15">
        <f>ASSUMPTIONS!$C$48</f>
        <v/>
      </c>
      <c r="D24" s="15">
        <f>ASSUMPTIONS!$C$48</f>
        <v/>
      </c>
      <c r="E24" s="15">
        <f>ASSUMPTIONS!$C$48</f>
        <v/>
      </c>
      <c r="F24" s="15">
        <f>ASSUMPTIONS!$C$48</f>
        <v/>
      </c>
      <c r="G24" s="15">
        <f>ASSUMPTIONS!$C$48</f>
        <v/>
      </c>
      <c r="H24" s="15">
        <f>ASSUMPTIONS!$C$48</f>
        <v/>
      </c>
      <c r="I24" s="15">
        <f>ASSUMPTIONS!$C$48</f>
        <v/>
      </c>
      <c r="J24" s="15">
        <f>ASSUMPTIONS!$C$48</f>
        <v/>
      </c>
      <c r="K24" s="15">
        <f>ASSUMPTIONS!$C$48</f>
        <v/>
      </c>
      <c r="L24" s="15">
        <f>ASSUMPTIONS!$C$48</f>
        <v/>
      </c>
      <c r="M24" s="15">
        <f>ASSUMPTIONS!$C$48</f>
        <v/>
      </c>
      <c r="N24" s="15">
        <f>ASSUMPTIONS!$C$48</f>
        <v/>
      </c>
      <c r="O24" s="15">
        <f>ASSUMPTIONS!$C$48</f>
        <v/>
      </c>
    </row>
    <row r="25">
      <c r="A25" s="2" t="inlineStr">
        <is>
          <t>Cash Above / (Below) Minimum</t>
        </is>
      </c>
      <c r="C25" s="18">
        <f>C23-C24</f>
        <v/>
      </c>
      <c r="D25" s="18">
        <f>D23-D24</f>
        <v/>
      </c>
      <c r="E25" s="18">
        <f>E23-E24</f>
        <v/>
      </c>
      <c r="F25" s="18">
        <f>F23-F24</f>
        <v/>
      </c>
      <c r="G25" s="18">
        <f>G23-G24</f>
        <v/>
      </c>
      <c r="H25" s="18">
        <f>H23-H24</f>
        <v/>
      </c>
      <c r="I25" s="18">
        <f>I23-I24</f>
        <v/>
      </c>
      <c r="J25" s="18">
        <f>J23-J24</f>
        <v/>
      </c>
      <c r="K25" s="18">
        <f>K23-K24</f>
        <v/>
      </c>
      <c r="L25" s="18">
        <f>L23-L24</f>
        <v/>
      </c>
      <c r="M25" s="18">
        <f>M23-M24</f>
        <v/>
      </c>
      <c r="N25" s="18">
        <f>N23-N24</f>
        <v/>
      </c>
      <c r="O25" s="18">
        <f>O23-O24</f>
        <v/>
      </c>
    </row>
    <row r="26">
      <c r="A26" s="2" t="inlineStr">
        <is>
          <t>ALARM</t>
        </is>
      </c>
      <c r="C26" s="23">
        <f>IF(C25&lt;0,"BELOW MINIMUM","ok")</f>
        <v/>
      </c>
      <c r="D26" s="23">
        <f>IF(D25&lt;0,"BELOW MINIMUM","ok")</f>
        <v/>
      </c>
      <c r="E26" s="23">
        <f>IF(E25&lt;0,"BELOW MINIMUM","ok")</f>
        <v/>
      </c>
      <c r="F26" s="23">
        <f>IF(F25&lt;0,"BELOW MINIMUM","ok")</f>
        <v/>
      </c>
      <c r="G26" s="23">
        <f>IF(G25&lt;0,"BELOW MINIMUM","ok")</f>
        <v/>
      </c>
      <c r="H26" s="23">
        <f>IF(H25&lt;0,"BELOW MINIMUM","ok")</f>
        <v/>
      </c>
      <c r="I26" s="23">
        <f>IF(I25&lt;0,"BELOW MINIMUM","ok")</f>
        <v/>
      </c>
      <c r="J26" s="23">
        <f>IF(J25&lt;0,"BELOW MINIMUM","ok")</f>
        <v/>
      </c>
      <c r="K26" s="23">
        <f>IF(K25&lt;0,"BELOW MINIMUM","ok")</f>
        <v/>
      </c>
      <c r="L26" s="23">
        <f>IF(L25&lt;0,"BELOW MINIMUM","ok")</f>
        <v/>
      </c>
      <c r="M26" s="23">
        <f>IF(M25&lt;0,"BELOW MINIMUM","ok")</f>
        <v/>
      </c>
      <c r="N26" s="23">
        <f>IF(N25&lt;0,"BELOW MINIMUM","ok")</f>
        <v/>
      </c>
      <c r="O26" s="23">
        <f>IF(O25&lt;0,"BELOW MINIMUM","ok")</f>
        <v/>
      </c>
    </row>
    <row r="28">
      <c r="A28" t="inlineStr">
        <is>
          <t>memo: of which customers' refundable deposits</t>
        </is>
      </c>
      <c r="C28" s="15">
        <f>(ASSUMPTIONS!C21-ASSUMPTIONS!C24)*ASSUMPTIONS!C23</f>
        <v/>
      </c>
      <c r="D28" s="15">
        <f>(ASSUMPTIONS!C21-ASSUMPTIONS!C24)*ASSUMPTIONS!C23+(ASSUMPTIONS!D21-ASSUMPTIONS!D24)*ASSUMPTIONS!D23</f>
        <v/>
      </c>
      <c r="E28" s="15">
        <f>(ASSUMPTIONS!C21-ASSUMPTIONS!C24)*ASSUMPTIONS!C23+(ASSUMPTIONS!D21-ASSUMPTIONS!D24)*ASSUMPTIONS!D23+(ASSUMPTIONS!E21-ASSUMPTIONS!E24)*ASSUMPTIONS!E23</f>
        <v/>
      </c>
      <c r="F28" s="15">
        <f>(ASSUMPTIONS!C21-ASSUMPTIONS!C24)*ASSUMPTIONS!C23+(ASSUMPTIONS!D21-ASSUMPTIONS!D24)*ASSUMPTIONS!D23+(ASSUMPTIONS!E21-ASSUMPTIONS!E24)*ASSUMPTIONS!E23+(ASSUMPTIONS!F21-ASSUMPTIONS!F24)*ASSUMPTIONS!F23</f>
        <v/>
      </c>
      <c r="G28" s="15">
        <f>(ASSUMPTIONS!C21-ASSUMPTIONS!C24)*ASSUMPTIONS!C23+(ASSUMPTIONS!D21-ASSUMPTIONS!D24)*ASSUMPTIONS!D23+(ASSUMPTIONS!E21-ASSUMPTIONS!E24)*ASSUMPTIONS!E23+(ASSUMPTIONS!F21-ASSUMPTIONS!F24)*ASSUMPTIONS!F23+(ASSUMPTIONS!G21-ASSUMPTIONS!G24)*ASSUMPTIONS!G23</f>
        <v/>
      </c>
      <c r="H28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</f>
        <v/>
      </c>
      <c r="I28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</f>
        <v/>
      </c>
      <c r="J28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</f>
        <v/>
      </c>
      <c r="K28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+(ASSUMPTIONS!K21-ASSUMPTIONS!K24)*ASSUMPTIONS!K23</f>
        <v/>
      </c>
      <c r="L28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+(ASSUMPTIONS!K21-ASSUMPTIONS!K24)*ASSUMPTIONS!K23+(ASSUMPTIONS!L21-ASSUMPTIONS!L24)*ASSUMPTIONS!L23</f>
        <v/>
      </c>
      <c r="M28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+(ASSUMPTIONS!K21-ASSUMPTIONS!K24)*ASSUMPTIONS!K23+(ASSUMPTIONS!L21-ASSUMPTIONS!L24)*ASSUMPTIONS!L23+(ASSUMPTIONS!M21-ASSUMPTIONS!M24)*ASSUMPTIONS!M23</f>
        <v/>
      </c>
      <c r="N28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+(ASSUMPTIONS!K21-ASSUMPTIONS!K24)*ASSUMPTIONS!K23+(ASSUMPTIONS!L21-ASSUMPTIONS!L24)*ASSUMPTIONS!L23+(ASSUMPTIONS!M21-ASSUMPTIONS!M24)*ASSUMPTIONS!M23+(ASSUMPTIONS!N21-ASSUMPTIONS!N24)*ASSUMPTIONS!N23</f>
        <v/>
      </c>
      <c r="O28" s="15">
        <f>(ASSUMPTIONS!C21-ASSUMPTIONS!C24)*ASSUMPTIONS!C23+(ASSUMPTIONS!D21-ASSUMPTIONS!D24)*ASSUMPTIONS!D23+(ASSUMPTIONS!E21-ASSUMPTIONS!E24)*ASSUMPTIONS!E23+(ASSUMPTIONS!F21-ASSUMPTIONS!F24)*ASSUMPTIONS!F23+(ASSUMPTIONS!G21-ASSUMPTIONS!G24)*ASSUMPTIONS!G23+(ASSUMPTIONS!H21-ASSUMPTIONS!H24)*ASSUMPTIONS!H23+(ASSUMPTIONS!I21-ASSUMPTIONS!I24)*ASSUMPTIONS!I23+(ASSUMPTIONS!J21-ASSUMPTIONS!J24)*ASSUMPTIONS!J23+(ASSUMPTIONS!K21-ASSUMPTIONS!K24)*ASSUMPTIONS!K23+(ASSUMPTIONS!L21-ASSUMPTIONS!L24)*ASSUMPTIONS!L23+(ASSUMPTIONS!M21-ASSUMPTIONS!M24)*ASSUMPTIONS!M23+(ASSUMPTIONS!N21-ASSUMPTIONS!N24)*ASSUMPTIONS!N23+(ASSUMPTIONS!N21-ASSUMPTIONS!N24)*ASSUMPTIONS!N23</f>
        <v/>
      </c>
    </row>
    <row r="29">
      <c r="A29" s="2" t="inlineStr">
        <is>
          <t>memo: cash genuinely OURS</t>
        </is>
      </c>
      <c r="C29" s="18">
        <f>C23-C28</f>
        <v/>
      </c>
      <c r="D29" s="18">
        <f>D23-D28</f>
        <v/>
      </c>
      <c r="E29" s="18">
        <f>E23-E28</f>
        <v/>
      </c>
      <c r="F29" s="18">
        <f>F23-F28</f>
        <v/>
      </c>
      <c r="G29" s="18">
        <f>G23-G28</f>
        <v/>
      </c>
      <c r="H29" s="18">
        <f>H23-H28</f>
        <v/>
      </c>
      <c r="I29" s="18">
        <f>I23-I28</f>
        <v/>
      </c>
      <c r="J29" s="18">
        <f>J23-J28</f>
        <v/>
      </c>
      <c r="K29" s="18">
        <f>K23-K28</f>
        <v/>
      </c>
      <c r="L29" s="18">
        <f>L23-L28</f>
        <v/>
      </c>
      <c r="M29" s="18">
        <f>M23-M28</f>
        <v/>
      </c>
      <c r="N29" s="18">
        <f>N23-N28</f>
        <v/>
      </c>
      <c r="O29" s="18">
        <f>O23-O28</f>
        <v/>
      </c>
    </row>
    <row r="31">
      <c r="A31" s="3" t="inlineStr">
        <is>
          <t>Month 13 repeats Month 12's assumptions. Replace it the moment you have a Year-2 view.</t>
        </is>
      </c>
    </row>
    <row r="32">
      <c r="A32" s="3" t="inlineStr">
        <is>
          <t>THE STRUCTURAL QUESTION: set the hiring step (ASSUMPTIONS) to 0 and watch the closing balance. Then set it back.</t>
        </is>
      </c>
    </row>
    <row r="33">
      <c r="A33" s="3" t="inlineStr">
        <is>
          <t>That difference is what the hire costs in cash. Renew: 'the fix here is not a timing trick, it's a decision about the pace of expansion.'</t>
        </is>
      </c>
    </row>
    <row r="34">
      <c r="A34" s="3" t="inlineStr">
        <is>
          <t>Closing balance INCLUDES customers' deposits. The memo rows below strip them out. Manage to the OURS line, not the closing line.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46" customWidth="1" min="1" max="1"/>
    <col width="22" customWidth="1" min="2" max="2"/>
    <col width="15" customWidth="1" min="3" max="3"/>
    <col width="4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7" customWidth="1" min="15" max="15"/>
  </cols>
  <sheetData>
    <row r="1">
      <c r="A1" s="1" t="inlineStr">
        <is>
          <t>KEY RATIOS — the four families</t>
        </is>
      </c>
    </row>
    <row r="2">
      <c r="A2" s="3" t="inlineStr">
        <is>
          <t>CFO100 Session 3 · these are FORECAST ratios. Say so before anyone else does.</t>
        </is>
      </c>
    </row>
    <row r="4">
      <c r="A4" s="4" t="inlineStr">
        <is>
          <t>PROFITABILITY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t="inlineStr">
        <is>
          <t>Gross profit margin</t>
        </is>
      </c>
      <c r="C5" s="21">
        <f>'P&amp;L'!O11/'P&amp;L'!O6</f>
        <v/>
      </c>
      <c r="D5" s="3" t="inlineStr">
        <is>
          <t>Higher is better</t>
        </is>
      </c>
    </row>
    <row r="6">
      <c r="A6" t="inlineStr">
        <is>
          <t>EBITDA margin</t>
        </is>
      </c>
      <c r="C6" s="21">
        <f>'P&amp;L'!O15/'P&amp;L'!O6</f>
        <v/>
      </c>
      <c r="D6" s="3" t="inlineStr">
        <is>
          <t>Higher is better</t>
        </is>
      </c>
    </row>
    <row r="7">
      <c r="A7" t="inlineStr">
        <is>
          <t>Pre-tax margin</t>
        </is>
      </c>
      <c r="C7" s="21">
        <f>'P&amp;L'!O17/'P&amp;L'!O6</f>
        <v/>
      </c>
      <c r="D7" s="3" t="inlineStr">
        <is>
          <t>5% life support · 10% floor · 15% healthy</t>
        </is>
      </c>
    </row>
    <row r="8">
      <c r="A8" t="inlineStr">
        <is>
          <t>Net profit margin</t>
        </is>
      </c>
      <c r="C8" s="21">
        <f>'P&amp;L'!O19/'P&amp;L'!O6</f>
        <v/>
      </c>
      <c r="D8" s="3" t="inlineStr">
        <is>
          <t>Higher is better</t>
        </is>
      </c>
    </row>
    <row r="9">
      <c r="A9" t="inlineStr">
        <is>
          <t>Return on assets (ROA)</t>
        </is>
      </c>
      <c r="C9" s="21">
        <f>'P&amp;L'!O19/AVERAGE('BALANCE SHEET'!C11:N11)</f>
        <v/>
      </c>
      <c r="D9" s="3" t="inlineStr">
        <is>
          <t>FORECAST — not an achievement</t>
        </is>
      </c>
    </row>
    <row r="10">
      <c r="A10" t="inlineStr">
        <is>
          <t>Return on equity (ROE)</t>
        </is>
      </c>
      <c r="C10" s="21">
        <f>'P&amp;L'!O19/AVERAGE('BALANCE SHEET'!C22:N22)</f>
        <v/>
      </c>
      <c r="D10" s="3" t="inlineStr">
        <is>
          <t>FORECAST — not an achievement</t>
        </is>
      </c>
    </row>
    <row r="12">
      <c r="A12" s="4" t="inlineStr">
        <is>
          <t>LIQUIDITY — at Month 12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t="inlineStr">
        <is>
          <t>Current ratio</t>
        </is>
      </c>
      <c r="C13" s="26">
        <f>('BALANCE SHEET'!N6+'BALANCE SHEET'!N7+'BALANCE SHEET'!N8)/'BALANCE SHEET'!N17</f>
        <v/>
      </c>
      <c r="D13" s="3" t="inlineStr">
        <is>
          <t>Ideal 1.5x - 3.0x</t>
        </is>
      </c>
    </row>
    <row r="14">
      <c r="A14" t="inlineStr">
        <is>
          <t>Quick ratio</t>
        </is>
      </c>
      <c r="C14" s="26">
        <f>('BALANCE SHEET'!N6+'BALANCE SHEET'!N8)/'BALANCE SHEET'!N17</f>
        <v/>
      </c>
      <c r="D14" s="3" t="inlineStr">
        <is>
          <t>Above 1.0x</t>
        </is>
      </c>
    </row>
    <row r="15">
      <c r="A15" t="inlineStr">
        <is>
          <t>Cash ratio</t>
        </is>
      </c>
      <c r="C15" s="26">
        <f>'BALANCE SHEET'!N6/'BALANCE SHEET'!N17</f>
        <v/>
      </c>
      <c r="D15" s="3" t="inlineStr">
        <is>
          <t>Ideally 1.0x</t>
        </is>
      </c>
    </row>
    <row r="16">
      <c r="A16" t="inlineStr">
        <is>
          <t>Deposits as % of closing cash</t>
        </is>
      </c>
      <c r="C16" s="21">
        <f>'BALANCE SHEET'!N16/'BALANCE SHEET'!N6</f>
        <v/>
      </c>
      <c r="D16" s="3" t="inlineStr">
        <is>
          <t>How much of our cash is NOT ours</t>
        </is>
      </c>
    </row>
    <row r="18">
      <c r="A18" s="4" t="inlineStr">
        <is>
          <t>EFFICIENCY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t="inlineStr">
        <is>
          <t>Asset turnover</t>
        </is>
      </c>
      <c r="C19" s="26">
        <f>'P&amp;L'!O6/AVERAGE('BALANCE SHEET'!C11:N11)</f>
        <v/>
      </c>
      <c r="D19" s="3" t="inlineStr">
        <is>
          <t>Higher is better</t>
        </is>
      </c>
    </row>
    <row r="20">
      <c r="A20" t="inlineStr">
        <is>
          <t>Days inventory outstanding (DIO)</t>
        </is>
      </c>
      <c r="C20" s="27">
        <f>AVERAGE(ASSUMPTIONS!C37:ASSUMPTIONS!N37)</f>
        <v/>
      </c>
      <c r="D20" s="3" t="inlineStr"/>
    </row>
    <row r="21">
      <c r="A21" t="inlineStr">
        <is>
          <t>Days sales outstanding (DSO)</t>
        </is>
      </c>
      <c r="C21" s="27">
        <f>AVERAGE(ASSUMPTIONS!C38:ASSUMPTIONS!N38)</f>
        <v/>
      </c>
      <c r="D21" s="3" t="inlineStr">
        <is>
          <t>Zero today. Will not stay zero.</t>
        </is>
      </c>
    </row>
    <row r="22">
      <c r="A22" t="inlineStr">
        <is>
          <t>Days payable outstanding (DPO)</t>
        </is>
      </c>
      <c r="C22" s="27">
        <f>AVERAGE(ASSUMPTIONS!C39:ASSUMPTIONS!N39)</f>
        <v/>
      </c>
      <c r="D22" s="3" t="inlineStr">
        <is>
          <t>Zero today. Suppliers give no credit.</t>
        </is>
      </c>
    </row>
    <row r="23">
      <c r="A23" t="inlineStr">
        <is>
          <t>Cash conversion cycle</t>
        </is>
      </c>
      <c r="C23" s="27">
        <f>AVERAGE(ASSUMPTIONS!C37:ASSUMPTIONS!N37)+AVERAGE(ASSUMPTIONS!C38:ASSUMPTIONS!N38)-AVERAGE(ASSUMPTIONS!C39:ASSUMPTIONS!N39)</f>
        <v/>
      </c>
      <c r="D23" s="3" t="inlineStr">
        <is>
          <t>Shorter is better</t>
        </is>
      </c>
    </row>
    <row r="25">
      <c r="A25" s="4" t="inlineStr">
        <is>
          <t>CASH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t="inlineStr">
        <is>
          <t>Lowest cash point in the year</t>
        </is>
      </c>
      <c r="C26" s="18">
        <f>MIN('CASH FLOW'!C18:N18)</f>
        <v/>
      </c>
      <c r="D26" s="3" t="inlineStr">
        <is>
          <t>The thinnest the company ever gets</t>
        </is>
      </c>
    </row>
    <row r="27">
      <c r="A27" t="inlineStr">
        <is>
          <t>Month of lowest cash</t>
        </is>
      </c>
      <c r="C27" s="28">
        <f>MATCH(MIN('CASH FLOW'!C18:N18),'CASH FLOW'!C18:N18,0)</f>
        <v/>
      </c>
      <c r="D27" s="3" t="inlineStr"/>
    </row>
    <row r="28">
      <c r="A28" t="inlineStr">
        <is>
          <t>Cash genuinely ours at M12</t>
        </is>
      </c>
      <c r="C28" s="18">
        <f>'CASH FLOW'!N18-'BALANCE SHEET'!N16</f>
        <v/>
      </c>
      <c r="D28" s="3" t="inlineStr">
        <is>
          <t>Closing cash less customer deposits</t>
        </is>
      </c>
    </row>
    <row r="29">
      <c r="A29" t="inlineStr">
        <is>
          <t>Free cash flow (Year 1)</t>
        </is>
      </c>
      <c r="C29" s="18">
        <f>'CASH FLOW'!O11+'CASH FLOW'!O15</f>
        <v/>
      </c>
      <c r="D29" s="3" t="inlineStr">
        <is>
          <t>Operating cash flow less capex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46" customWidth="1" min="4" max="4"/>
  </cols>
  <sheetData>
    <row r="1">
      <c r="A1" s="1" t="inlineStr">
        <is>
          <t>INTEGRITY CHECKS</t>
        </is>
      </c>
    </row>
    <row r="3">
      <c r="A3" s="2" t="inlineStr">
        <is>
          <t>Check</t>
        </is>
      </c>
      <c r="B3" s="2" t="inlineStr">
        <is>
          <t>Model</t>
        </is>
      </c>
      <c r="C3" s="2" t="inlineStr">
        <is>
          <t>Source / target</t>
        </is>
      </c>
      <c r="D3" s="2" t="inlineStr">
        <is>
          <t>Verdict</t>
        </is>
      </c>
    </row>
    <row r="4">
      <c r="A4" t="inlineStr">
        <is>
          <t>Balance sheet balances (max abs CHECK row)</t>
        </is>
      </c>
      <c r="B4" s="15">
        <f>MAX(ABS('BALANCE SHEET'!C24),ABS('BALANCE SHEET'!N24))</f>
        <v/>
      </c>
      <c r="C4" s="15" t="n">
        <v>0</v>
      </c>
      <c r="D4" s="23">
        <f>IF(ABS(B4-C4)&lt;=MAX(1,ABS(C4)*0.01),"OK","CHECK — variance "&amp;TEXT(B4-C4,"#,##0"))</f>
        <v/>
      </c>
    </row>
    <row r="5">
      <c r="A5" t="inlineStr">
        <is>
          <t>Year-1 net revenue</t>
        </is>
      </c>
      <c r="B5" s="15">
        <f>'P&amp;L'!O6</f>
        <v/>
      </c>
      <c r="C5" s="15" t="n">
        <v>1807859712</v>
      </c>
      <c r="D5" s="23">
        <f>IF(ABS(B5-C5)&lt;=MAX(1,ABS(C5)*0.01),"OK","CHECK — variance "&amp;TEXT(B5-C5,"#,##0"))</f>
        <v/>
      </c>
    </row>
    <row r="6">
      <c r="A6" t="inlineStr">
        <is>
          <t>Year-1 net profit</t>
        </is>
      </c>
      <c r="B6" s="15">
        <f>'P&amp;L'!O19</f>
        <v/>
      </c>
      <c r="C6" s="15" t="n">
        <v>227423239</v>
      </c>
      <c r="D6" s="23">
        <f>IF(ABS(B6-C6)&lt;=MAX(1,ABS(C6)*0.01),"OK","CHECK — variance "&amp;TEXT(B6-C6,"#,##0"))</f>
        <v/>
      </c>
    </row>
    <row r="7">
      <c r="A7" t="inlineStr">
        <is>
          <t>Lowest cash point</t>
        </is>
      </c>
      <c r="B7" s="15">
        <f>MIN('CASH FLOW'!C18:N18)</f>
        <v/>
      </c>
      <c r="C7" s="15" t="n">
        <v>17548449</v>
      </c>
      <c r="D7" s="23">
        <f>IF(ABS(B7-C7)&lt;=MAX(1,ABS(C7)*0.01),"OK","CHECK — variance "&amp;TEXT(B7-C7,"#,##0"))</f>
        <v/>
      </c>
    </row>
    <row r="8">
      <c r="A8" t="inlineStr">
        <is>
          <t>M1 contribution per unit</t>
        </is>
      </c>
      <c r="B8" s="29">
        <f>C5</f>
        <v/>
      </c>
      <c r="C8" s="29" t="n">
        <v>1616.82</v>
      </c>
      <c r="D8" s="23">
        <f>IF(ABS(B8-C8)&lt;=MAX(1,ABS(C8)*0.01),"OK","CHECK — variance "&amp;TEXT(B8-C8,"#,##0"))</f>
        <v/>
      </c>
    </row>
    <row r="9">
      <c r="A9" t="inlineStr">
        <is>
          <t>M1 full break-even incl jar (jars/day)</t>
        </is>
      </c>
      <c r="B9" s="17">
        <f>C12</f>
        <v/>
      </c>
      <c r="C9" s="17" t="n">
        <v>577</v>
      </c>
      <c r="D9" s="23">
        <f>IF(ABS(B9-C9)&lt;=MAX(1,ABS(C9)*0.01),"OK","CHECK — variance "&amp;TEXT(B9-C9,"#,##0"))</f>
        <v/>
      </c>
    </row>
    <row r="10">
      <c r="A10" t="inlineStr">
        <is>
          <t>M12 customer deposits</t>
        </is>
      </c>
      <c r="B10" s="15">
        <f>'BALANCE SHEET'!N16</f>
        <v/>
      </c>
      <c r="C10" s="15" t="n">
        <v>157038750</v>
      </c>
      <c r="D10" s="23">
        <f>IF(ABS(B10-C10)&lt;=MAX(1,ABS(C10)*0.01),"OK","CHECK — variance "&amp;TEXT(B10-C10,"#,##0"))</f>
        <v/>
      </c>
    </row>
    <row r="12">
      <c r="A12" s="2" t="inlineStr">
        <is>
          <t>WHAT IS INPUT AND WHAT IS DERIVED</t>
        </is>
      </c>
    </row>
    <row r="13">
      <c r="A13" s="2" t="inlineStr">
        <is>
          <t>EXACT, from the published Year-1 model: net revenue, cost of sales, VAT+excise, inventories,</t>
        </is>
      </c>
    </row>
    <row r="14">
      <c r="A14" s="3" t="inlineStr">
        <is>
          <t xml:space="preserve">  deposits received, salaries, fixed costs, transaction fees, plant, depreciation, tax, opening balances.</t>
        </is>
      </c>
    </row>
    <row r="15">
      <c r="A15" s="2" t="inlineStr">
        <is>
          <t>DERIVED HERE, replace when you know better: jars/day for M2-M11 (straight-line between the</t>
        </is>
      </c>
    </row>
    <row r="16">
      <c r="A16" s="3" t="inlineStr">
        <is>
          <t xml:space="preserve">  published 500/day at M1 and 2,000/day at M12). Revenue and cost per unit follow from that ramp.</t>
        </is>
      </c>
    </row>
    <row r="17">
      <c r="A17" s="2" t="inlineStr">
        <is>
          <t>SET TO ZERO ON PURPOSE, because the truth is unknown and a guess would be worse:</t>
        </is>
      </c>
    </row>
    <row r="18">
      <c r="A18" s="3" t="inlineStr">
        <is>
          <t xml:space="preserve">  jar returns and refunds · trade receivables · trade payables · capex · input VAT refund timing.</t>
        </is>
      </c>
    </row>
    <row r="19">
      <c r="A19" s="2" t="inlineStr">
        <is>
          <t>NOT IN THIS MODEL AT ALL: NSSF employer at the statutory 10% (recorded at 5%), Local Service Tax.</t>
        </is>
      </c>
    </row>
    <row r="20">
      <c r="A20" s="3" t="inlineStr"/>
    </row>
    <row r="21">
      <c r="A21" s="3" t="inlineStr">
        <is>
          <t>If a CHECK row above says OK, this workbook reproduces the published model. If you then change an</t>
        </is>
      </c>
    </row>
    <row r="22">
      <c r="A22" s="3" t="inlineStr">
        <is>
          <t>assumption, it will stop matching — that is the point. The published model was a snapshot. This one moves.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2026-09-21T13:43:13Z</dcterms:created>
  <dcterms:modified xsi:type="dcterms:W3CDTF">2026-09-21T13:43:13Z</dcterms:modified>
</cp:coreProperties>
</file>